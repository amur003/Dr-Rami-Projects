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docProps/core.xml" ContentType="application/vnd.openxmlformats-package.core-properties+xml"/>
  <Override PartName="/docProps/app.xml" ContentType="application/vnd.openxmlformats-officedocument.extended-properties+xml"/>
  <Override PartName="/xl/worksheets/sheet22.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Admin\AppData\Roaming\Claude\scratch-workspaces\eca9043e-85a0-4329-9b8a-851c0a7542bb\34351538-3c6e-4241-8f20-1dc46670d34c\scratch-2026-10-05-222582\"/>
    </mc:Choice>
  </mc:AlternateContent>
  <xr:revisionPtr revIDLastSave="0" documentId="8_{6ACF1BF0-1510-4E0F-A6F4-223EEA65ACBB}" xr6:coauthVersionLast="47" xr6:coauthVersionMax="47" xr10:uidLastSave="{00000000-0000-0000-0000-000000000000}"/>
  <bookViews>
    <workbookView xWindow="-120" yWindow="-120" windowWidth="29040" windowHeight="15840" xr2:uid="{A720E7D1-1CBA-4E35-BAF0-18C245CF7A68}"/>
  </bookViews>
  <sheets>
    <sheet name="الغلاف والفهرس" sheetId="1" r:id="rId1"/>
    <sheet name="الملخص التنفيذي" sheetId="2" r:id="rId2"/>
    <sheet name="الافتراضات" sheetId="3" r:id="rId3"/>
    <sheet name="التراخيص" sheetId="4" r:id="rId4"/>
    <sheet name="السوق والسعر" sheetId="5" r:id="rId5"/>
    <sheet name="الخطة الفنية والإنتاج" sheetId="6" r:id="rId6"/>
    <sheet name="الإنتاج الشهري" sheetId="22" r:id="rId26"/>
    <sheet name="الجدول الزمني" sheetId="7" r:id="rId7"/>
    <sheet name="الأصول والإهلاك" sheetId="8" r:id="rId8"/>
    <sheet name="مصاريف ما قبل التشغيل" sheetId="9" r:id="rId9"/>
    <sheet name="الموارد البشرية" sheetId="10" r:id="rId10"/>
    <sheet name="الإيجارات" sheetId="11" r:id="rId11"/>
    <sheet name="المواد المستهلكة" sheetId="12" r:id="rId12"/>
    <sheet name="الإيرادات" sheetId="13" r:id="rId13"/>
    <sheet name="التكاليف التشغيلية" sheetId="14" r:id="rId14"/>
    <sheet name="التكلفة الاستثمارية والتمويل" sheetId="15" r:id="rId15"/>
    <sheet name="قائمة الدخل" sheetId="16" r:id="rId16"/>
    <sheet name="التدفقات النقدية" sheetId="17" r:id="rId17"/>
    <sheet name="المؤشرات المالية" sheetId="18" r:id="rId18"/>
    <sheet name="تحليل الحساسية" sheetId="19" r:id="rId19"/>
    <sheet name="المخاطر و SWOT" sheetId="20" r:id="rId20"/>
    <sheet name="التصحيحات والمصادر" sheetId="21" r:id="rId21"/>
  </sheets>
  <definedNames>
    <definedName name="AmortYrs">'مصاريف ما قبل التشغيل'!$B$12</definedName>
    <definedName name="AssayCost">الافتراضات!$B$51</definedName>
    <definedName name="AvailFactor">الافتراضات!$B$18</definedName>
    <definedName name="BankGuar">الافتراضات!$B$34</definedName>
    <definedName name="BenchGrade">الافتراضات!$B$22</definedName>
    <definedName name="BrkProd">الافتراضات!$B$19</definedName>
    <definedName name="CifBench">الافتراضات!$B$21</definedName>
    <definedName name="CommunityRate">الافتراضات!$B$32</definedName>
    <definedName name="ConsFix">'المواد المستهلكة'!$F$22</definedName>
    <definedName name="ConsVar">'المواد المستهلكة'!$F$21</definedName>
    <definedName name="DieselPrice">الافتراضات!$B$46</definedName>
    <definedName name="DiscRate">الافتراضات!$B$59</definedName>
    <definedName name="EosRate">الافتراضات!$B$39</definedName>
    <definedName name="EqIns">الافتراضات!$B$48</definedName>
    <definedName name="EquipRent">الإيجارات!$E$16</definedName>
    <definedName name="ExpIns">الافتراضات!$B$40</definedName>
    <definedName name="F_Capex">'تحليل الحساسية'!$B$8</definedName>
    <definedName name="F_Opex">'تحليل الحساسية'!$B$7</definedName>
    <definedName name="F_Price">'تحليل الحساسية'!$B$5</definedName>
    <definedName name="F_Vol">'تحليل الحساسية'!$B$6</definedName>
    <definedName name="FixedAssets">'الأصول والإهلاك'!$D$8</definedName>
    <definedName name="FxRate">الافتراضات!$B$9</definedName>
    <definedName name="GenAdmin">الافتراضات!$B$49</definedName>
    <definedName name="GuarComm">الافتراضات!$B$35</definedName>
    <definedName name="HaulDist">الافتراضات!$B$26</definedName>
    <definedName name="InflRate">الافتراضات!$B$47</definedName>
    <definedName name="K_IRR">'المؤشرات المالية'!$B$7</definedName>
    <definedName name="K_IRRNew">'المؤشرات المالية'!$B$13</definedName>
    <definedName name="K_NPV">'المؤشرات المالية'!$B$6</definedName>
    <definedName name="K_NPVNew">'المؤشرات المالية'!$B$12</definedName>
    <definedName name="K_Payback">'المؤشرات المالية'!$B$8</definedName>
    <definedName name="LicFees">التراخيص!$D$10</definedName>
    <definedName name="LicRenew">الافتراضات!$B$53</definedName>
    <definedName name="Loan">الافتراضات!$B$55</definedName>
    <definedName name="LoanRate">الافتراضات!$B$56</definedName>
    <definedName name="LoanYrs">الافتراضات!$B$57</definedName>
    <definedName name="MinExportGrade">'السوق والسعر'!$B$13</definedName>
    <definedName name="MinWage">الافتراضات!$B$44</definedName>
    <definedName name="NatAvgOutput">'السوق والسعر'!$B$11</definedName>
    <definedName name="NatAvgPrice">'السوق والسعر'!$B$9</definedName>
    <definedName name="NewInv">'التكلفة الاستثمارية والتمويل'!$B$12</definedName>
    <definedName name="OpHours">'الخطة الفنية والإنتاج'!$C$6</definedName>
    <definedName name="OreGrade">الافتراضات!$B$13</definedName>
    <definedName name="OreReserve">الافتراضات!$B$12</definedName>
    <definedName name="Payroll">'الموارد البشرية'!$G$17</definedName>
    <definedName name="Permit2">الافتراضات!$B$41</definedName>
    <definedName name="Permit3">الافتراضات!$B$42</definedName>
    <definedName name="PermitCost">'الموارد البشرية'!$B$42</definedName>
    <definedName name="PermitOther">الافتراضات!$B$43</definedName>
    <definedName name="PermitRenew">'الموارد البشرية'!$B$40</definedName>
    <definedName name="PortCost">الافتراضات!$B$24</definedName>
    <definedName name="PreOp">'مصاريف ما قبل التشغيل'!$B$10</definedName>
    <definedName name="PriceDisc">الافتراضات!$B$28</definedName>
    <definedName name="PriceG">الافتراضات!$B$29</definedName>
    <definedName name="RehabCost">الافتراضات!$B$52</definedName>
    <definedName name="RockCap">'الخطة الفنية والإنتاج'!$C$7</definedName>
    <definedName name="ROMCap">'الخطة الفنية والإنتاج'!$C$8</definedName>
    <definedName name="RoyaltyRate">الافتراضات!$B$31</definedName>
    <definedName name="SaleCap">'الخطة الفنية والإنتاج'!$C$10</definedName>
    <definedName name="SalePrice">'السوق والسعر'!$B$32</definedName>
    <definedName name="SeaFreight">الافتراضات!$B$23</definedName>
    <definedName name="ShiftHrs">الافتراضات!$B$17</definedName>
    <definedName name="SiteRent">الإيجارات!$E$9</definedName>
    <definedName name="SortRecov">الافتراضات!$B$15</definedName>
    <definedName name="SPFEx">الافتراضات!$B$38</definedName>
    <definedName name="SPFOm">الافتراضات!$B$37</definedName>
    <definedName name="StaffOnCost">'الموارد البشرية'!$B$34</definedName>
    <definedName name="StartDate">الافتراضات!$B$8</definedName>
    <definedName name="StripRatio">الافتراضات!$B$14</definedName>
    <definedName name="SunkCost">'مصاريف ما قبل التشغيل'!$B$9</definedName>
    <definedName name="TaxRate">الافتراضات!$B$33</definedName>
    <definedName name="TotalInv">'التكلفة الاستثمارية والتمويل'!$B$10</definedName>
    <definedName name="TraderM">الافتراضات!$B$25</definedName>
    <definedName name="TruckRate">الافتراضات!$B$27</definedName>
    <definedName name="Utilities">الافتراضات!$B$50</definedName>
    <definedName name="WCMonths">الافتراضات!$B$58</definedName>
    <definedName name="WorkCap">'التكلفة الاستثمارية والتمويل'!$B$17</definedName>
    <definedName name="WorkDays">الافتراضات!$B$16</definedName>
  </definedNames>
  <calcPr calcId="181029" fullCalcOnLoad="1"/>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<sst xmlns="http://schemas.openxmlformats.org/spreadsheetml/2006/main" count="1274" uniqueCount="893">
  <si>
    <t>دراسة الجدوى الاقتصادية والفنية</t>
  </si>
  <si>
    <t>مشروع استخراج خام الكروم (محجر كروم) — محافظة شمال الشرقية، سلطنة عُمان</t>
  </si>
  <si>
    <t>Chromite Quarry Project — Technical &amp; Economic Feasibility Study (updated, fully linked model)</t>
  </si>
  <si>
    <t>تاريخ التحديث: أكتوبر 2026 — العملة: ريال عُماني (ر.ع) — مدة الدراسة: سنة تأسيس + 10 سنوات تشغيل</t>
  </si>
  <si>
    <t>م</t>
  </si>
  <si>
    <t>الورقة</t>
  </si>
  <si>
    <t>المحتوى</t>
  </si>
  <si>
    <t>الملخص التنفيذي</t>
  </si>
  <si>
    <t>الملخص التنفيذي: أهم الأرقام والمؤشرات والخلاصة</t>
  </si>
  <si>
    <t>الافتراضات</t>
  </si>
  <si>
    <t>جميع الافتراضات والمدخلات الرئيسية مع مصدر كل رقم وحالته</t>
  </si>
  <si>
    <t>التراخيص</t>
  </si>
  <si>
    <t>التراخيص المطلوبة ورسومها والإطار التنظيمي للقطاع</t>
  </si>
  <si>
    <t>السوق والسعر</t>
  </si>
  <si>
    <t>بيانات السوق والأسعار المرجعية وبناء سعر البيع المعتمد</t>
  </si>
  <si>
    <t>الخطة الفنية والإنتاج</t>
  </si>
  <si>
    <t>الطاقة الإنتاجية وبرنامج الإنتاج السنوي واستنزاف الاحتياطي</t>
  </si>
  <si>
    <t>الجدول الزمني</t>
  </si>
  <si>
    <t>مراحل وخطة تنفيذ المشروع بالتسلسل الصحيح (مخطط زمني)</t>
  </si>
  <si>
    <t>الأصول والإهلاك</t>
  </si>
  <si>
    <t>الأصول الثابتة وجدول الإهلاك والاستبدال</t>
  </si>
  <si>
    <t>مصاريف ما قبل التشغيل</t>
  </si>
  <si>
    <t>مصاريف ما قبل التشغيل وإطفاؤها</t>
  </si>
  <si>
    <t>الموارد البشرية</t>
  </si>
  <si>
    <t>الأجور والرواتب والتأمينات ومأذونيات العمل</t>
  </si>
  <si>
    <t>الإيجارات</t>
  </si>
  <si>
    <t>إيجار المواقع والمعدات والمركبات</t>
  </si>
  <si>
    <t>المواد المستهلكة</t>
  </si>
  <si>
    <t>الوقود والمواد المستهلكة</t>
  </si>
  <si>
    <t>الإيرادات</t>
  </si>
  <si>
    <t>الإيرادات السنوية</t>
  </si>
  <si>
    <t>التكاليف التشغيلية</t>
  </si>
  <si>
    <t>التكاليف التشغيلية السنوية (ثابتة ومتغيرة)</t>
  </si>
  <si>
    <t>التكلفة الاستثمارية والتمويل</t>
  </si>
  <si>
    <t>التكلفة الاستثمارية ورأس المال العامل وهيكل التمويل وجدول القرض</t>
  </si>
  <si>
    <t>قائمة الدخل</t>
  </si>
  <si>
    <t>قائمة الدخل التقديرية لعشر سنوات</t>
  </si>
  <si>
    <t>التدفقات النقدية</t>
  </si>
  <si>
    <t>قائمة التدفقات النقدية (قبل التمويل وبعده)</t>
  </si>
  <si>
    <t>المؤشرات المالية</t>
  </si>
  <si>
    <t>صافي القيمة الحالية، معدل العائد الداخلي، فترة الاسترداد، نقطة التعادل</t>
  </si>
  <si>
    <t>تحليل الحساسية</t>
  </si>
  <si>
    <t>تحليل الحساسية للسعر والكمية والتكاليف</t>
  </si>
  <si>
    <t>المخاطر و SWOT</t>
  </si>
  <si>
    <t>تحليل SWOT وسجل المخاطر وإجراءات التخفيف</t>
  </si>
  <si>
    <t>التصحيحات والمصادر</t>
  </si>
  <si>
    <t>ما تم تصحيحه في الدراسة الأصلية، البنود التي تحتاج تأكيداً، والمصادر</t>
  </si>
  <si>
    <t>دليل الألوان</t>
  </si>
  <si>
    <t>خلية مدخلات (خط أزرق وخلفية صفراء): يمكن تعديلها، وكل النتائج تُعاد احتسابها تلقائياً</t>
  </si>
  <si>
    <t>خلية محتسبة بمعادلة (خط أسود): لا تُعدَّل</t>
  </si>
  <si>
    <t>إجمالي</t>
  </si>
  <si>
    <t>نتيجة رئيسية</t>
  </si>
  <si>
    <t>تنبيه مهم</t>
  </si>
  <si>
    <t>نتائج هذه الدراسة تعتمد على افتراضات جيولوجية وسوقية لم ترد في الملف الأصلي (الاحتياطي، درجة الخام، نسبة التعرية، سعر البيع). يجب استبدالها بالأرقام الفعلية من التقرير الاستكشافي وعقد البيع قبل تقديم الدراسة لأي جهة — انظر ورقة «التصحيحات والمصادر».</t>
  </si>
  <si>
    <t>جميع الأرقام مرتبطة بأوراق الدراسة وتتحدّث تلقائياً عند تعديل الافتراضات</t>
  </si>
  <si>
    <t>المؤشر</t>
  </si>
  <si>
    <t>القيمة</t>
  </si>
  <si>
    <t>الوحدة</t>
  </si>
  <si>
    <t>ملاحظات</t>
  </si>
  <si>
    <t>أولاً: المشروع</t>
  </si>
  <si>
    <t>الطاقة الإنتاجية — خام قابل للبيع</t>
  </si>
  <si>
    <t>طن/سنة</t>
  </si>
  <si>
    <t>عند التشغيل الكامل (من السنة الثالثة)</t>
  </si>
  <si>
    <t>متوسط درجة الخام</t>
  </si>
  <si>
    <t>Cr2O3</t>
  </si>
  <si>
    <t>افتراض — يُستبدل بنتائج المختبر</t>
  </si>
  <si>
    <t>سعر البيع عند موقع التجميع</t>
  </si>
  <si>
    <t>ر.ع/طن</t>
  </si>
  <si>
    <t>صافي العائد المحتسب من السعر المرجعي العالمي — ورقة «السوق والسعر»</t>
  </si>
  <si>
    <t>عدد العاملين</t>
  </si>
  <si>
    <t>عامل</t>
  </si>
  <si>
    <t>نسبة التعمين</t>
  </si>
  <si>
    <t>%</t>
  </si>
  <si>
    <t>ثانياً: الاستثمار والتمويل</t>
  </si>
  <si>
    <t>إجمالي التكلفة الاستثمارية</t>
  </si>
  <si>
    <t>ر.ع</t>
  </si>
  <si>
    <t>أصول ثابتة + ما قبل التشغيل + ضمانات بنكية + رأس مال عامل</t>
  </si>
  <si>
    <t>منها: مصاريف استكشاف مدفوعة سابقاً</t>
  </si>
  <si>
    <t>مساهمة المالك المنفذة خلال السنوات الثلاث الماضية</t>
  </si>
  <si>
    <t>الاستثمار الجديد المطلوب</t>
  </si>
  <si>
    <t>القرض البنكي المفترض</t>
  </si>
  <si>
    <t>افتراض — يُعدَّل حسب شروط الجهة الممولة</t>
  </si>
  <si>
    <t>ثالثاً: التشغيل في السنة الثالثة (الطاقة الكاملة)</t>
  </si>
  <si>
    <t>التكاليف التشغيلية النقدية (شاملة الإتاوة)</t>
  </si>
  <si>
    <t>تكلفة الطن المباع</t>
  </si>
  <si>
    <t>الربح قبل الفوائد والضرائب والإهلاك (EBITDA)</t>
  </si>
  <si>
    <t>صافي الربح بعد الضريبة</t>
  </si>
  <si>
    <t>رابعاً: مؤشرات الجدوى</t>
  </si>
  <si>
    <t>صافي القيمة الحالية (NPV)</t>
  </si>
  <si>
    <t>على إجمالي الاستثمار شاملاً المصاريف السابقة، عند معدل الخصم المعتمد</t>
  </si>
  <si>
    <t>معدل العائد الداخلي (IRR)</t>
  </si>
  <si>
    <t>على إجمالي الاستثمار</t>
  </si>
  <si>
    <t>معدل العائد الداخلي على الاستثمار الجديد فقط</t>
  </si>
  <si>
    <t>باستبعاد المصاريف المدفوعة سابقاً (تكلفة غارقة)</t>
  </si>
  <si>
    <t>فترة الاسترداد</t>
  </si>
  <si>
    <t>سنة</t>
  </si>
  <si>
    <t>من بداية الإنتاج</t>
  </si>
  <si>
    <t>سعر التعادل</t>
  </si>
  <si>
    <t>السعر الذي يغطي جميع التكاليف في سنة التشغيل الكامل</t>
  </si>
  <si>
    <t>نسبة التعادل من الطاقة الإنتاجية</t>
  </si>
  <si>
    <t>خامساً: الخلاصة</t>
  </si>
  <si>
    <t>1) الجدوى شديدة الحساسية لسعر البيع والكمية المباعة (نسبة التعرية ودرجة الخام) — انظر «تحليل الحساسية».</t>
  </si>
  <si>
    <t>2) الاحتياطي والدرجة ونسبة التعرية افتراضات يجب استبدالها بنتائج التقرير الاستكشافي المعتمد.</t>
  </si>
  <si>
    <t>3) القرار الوزاري 18/2025: التصدير حصري عبر شركة متاجرة المعادن، ولا يُصدَّر الخام غير المعالج بدرجة أقل من 36%.</t>
  </si>
  <si>
    <t>4) تفاصيل ما تم تصحيحه والبنود التي تحتاج تأكيداً في ورقة «التصحيحات والمصادر».</t>
  </si>
  <si>
    <t>الافتراضات والمدخلات الرئيسية</t>
  </si>
  <si>
    <t>الخلايا الصفراء بخط أزرق مدخلات قابلة للتعديل. عمود «المصدر / الحالة» يبيّن: من الدراسة الأصلية — مصدر منشور — افتراض يحتاج تأكيداً</t>
  </si>
  <si>
    <t>البند</t>
  </si>
  <si>
    <t>المصدر / الحالة</t>
  </si>
  <si>
    <t>أولاً: بيانات عامة</t>
  </si>
  <si>
    <t>اسم المشروع</t>
  </si>
  <si>
    <t>محجر خام الكروم</t>
  </si>
  <si>
    <t>—</t>
  </si>
  <si>
    <t>من الدراسة الأصلية</t>
  </si>
  <si>
    <t>الموقع</t>
  </si>
  <si>
    <t>محافظة شمال الشرقية</t>
  </si>
  <si>
    <t>من الدراسة الأصلية (الترخيص البلدي صادر من بلدية شمال الشرقية) — يُستكمل اسم الولاية ورقم الموقع وإحداثياته</t>
  </si>
  <si>
    <t>تاريخ بدء التنفيذ</t>
  </si>
  <si>
    <t>تاريخ</t>
  </si>
  <si>
    <t>افتراض — يُستخدم في الجدول الزمني فقط</t>
  </si>
  <si>
    <t>سعر صرف الدولار الأمريكي</t>
  </si>
  <si>
    <t>ر.ع / دولار</t>
  </si>
  <si>
    <t>سعر الربط الرسمي (1 ر.ع = 2.6008 دولار)</t>
  </si>
  <si>
    <t>مدة التشغيل في الدراسة</t>
  </si>
  <si>
    <t>ثابتة في بنية النموذج (سنة تأسيس + 10 سنوات تشغيل)</t>
  </si>
  <si>
    <t>ثانياً: الاحتياطي والإنتاج</t>
  </si>
  <si>
    <t>الاحتياطي القابل للتعدين</t>
  </si>
  <si>
    <t>طن خام</t>
  </si>
  <si>
    <t>افتراض يحتاج تأكيداً — غير وارد في الملف الأصلي. يُستبدل برقم التقرير الاستكشافي المعتمد</t>
  </si>
  <si>
    <t>متوسط نسبة أكسيد الكروم في الخام (Cr2O3)</t>
  </si>
  <si>
    <t>افتراض يحتاج تأكيداً — يُستبدل بنتائج تحاليل المختبر. الخام العُماني المتداول عالمياً غالباً 30–32%</t>
  </si>
  <si>
    <t>نسبة التعرية (طن صخور عقيمة لكل طن خام)</t>
  </si>
  <si>
    <t>طن / طن</t>
  </si>
  <si>
    <t>افتراض يحتاج تأكيداً — من أكثر العوامل تأثيراً على الجدوى؛ تُحدَّد من خطة التعدين</t>
  </si>
  <si>
    <t>نسبة استرداد الخام بعد الفرز اليدوي</t>
  </si>
  <si>
    <t>افتراض (الدراسة الأصلية تتضمن 5 عمال فرز)</t>
  </si>
  <si>
    <t>أيام العمل في السنة</t>
  </si>
  <si>
    <t>يوم</t>
  </si>
  <si>
    <t>افتراض: 25 يوماً × 12 شهراً</t>
  </si>
  <si>
    <t>ساعات العمل في الوردية (وردية واحدة)</t>
  </si>
  <si>
    <t>ساعة</t>
  </si>
  <si>
    <t>قانون العمل: 8 ساعات يومياً</t>
  </si>
  <si>
    <t>معامل جاهزية واستغلال المعدات</t>
  </si>
  <si>
    <t>افتراض: يشمل الأعطال والصيانة وتوقفات الطقس والتنقل</t>
  </si>
  <si>
    <t>إنتاجية الحفار المزود بكسارة هيدروليكية</t>
  </si>
  <si>
    <t>طن صخر / ساعة</t>
  </si>
  <si>
    <t>افتراض لصخور البريدوتيت/الدونيت دون تفجير — يُراجَع مع مورّد المعدات أو من تجربة الموقع</t>
  </si>
  <si>
    <t>ثالثاً: السوق والسعر</t>
  </si>
  <si>
    <t>السعر المرجعي CIF الصين — كروم عُماني كتل 30–32%</t>
  </si>
  <si>
    <t>دولار / طن</t>
  </si>
  <si>
    <t>مصدر منشور: SMM — 192.5 دولار (17 يونيو 2026) و205 دولار (30 سبتمبر 2026)؛ اعتُمد متوسط مقرَّب</t>
  </si>
  <si>
    <t>درجة الخام المرجعي (منتصف النطاق)</t>
  </si>
  <si>
    <t>منتصف نطاق 30–32% — يُستخدم لتحويل السعر إلى سعر وحدة الكروم</t>
  </si>
  <si>
    <t>أجور الشحن البحري عُمان – الصين</t>
  </si>
  <si>
    <t>افتراض يحتاج تأكيداً (شحن سائب)</t>
  </si>
  <si>
    <t>مناولة وتخزين وتحميل في الميناء</t>
  </si>
  <si>
    <t>ر.ع / طن</t>
  </si>
  <si>
    <t>افتراض يحتاج تأكيداً</t>
  </si>
  <si>
    <t>هامش التسويق والفحص والتمويل (المشتري/المصدِّر)</t>
  </si>
  <si>
    <t>% من سعر CIF</t>
  </si>
  <si>
    <t>افتراض يحتاج تأكيداً — لم تُنشر بعد آلية تسعير شركة متاجرة المعادن للمنتجين</t>
  </si>
  <si>
    <t>مسافة النقل البري من موقع التجميع إلى الميناء</t>
  </si>
  <si>
    <t>كم</t>
  </si>
  <si>
    <t>افتراض يحتاج تأكيداً حسب الموقع الفعلي والميناء (صحار / صلالة / الدقم)</t>
  </si>
  <si>
    <t>تعرفة النقل البري</t>
  </si>
  <si>
    <t>ر.ع / طن.كم</t>
  </si>
  <si>
    <t>افتراض يحتاج تأكيداً بعروض شركات النقل</t>
  </si>
  <si>
    <t>خصم تحوّطي على صافي السعر</t>
  </si>
  <si>
    <t>تحوّط لتقلب الأسعار وغرامات الجودة والرطوبة؛ يقرّب السعر من المتوسط الوطني المحقق فعلياً</t>
  </si>
  <si>
    <t>التغير السنوي في سعر البيع</t>
  </si>
  <si>
    <t>% سنوياً</t>
  </si>
  <si>
    <t>افتراض متحفظ: ثبات السعر مع تضخم التكاليف</t>
  </si>
  <si>
    <t>رابعاً: الرسوم الحكومية والضرائب</t>
  </si>
  <si>
    <t>الإتاوة الحكومية</t>
  </si>
  <si>
    <t>% من قيمة الإنتاج</t>
  </si>
  <si>
    <t>قانون الثروة المعدنية (م.س 19/2019): لا تقل عن 5% — تُؤكَّد النسبة المحددة في الترخيص</t>
  </si>
  <si>
    <t>مساهمة تنمية المجتمع المحلي</t>
  </si>
  <si>
    <t>قانون الثروة المعدنية: لا تقل عن 1%</t>
  </si>
  <si>
    <t>ضريبة الدخل</t>
  </si>
  <si>
    <t>% من الربح</t>
  </si>
  <si>
    <t>قانون ضريبة الدخل: 15% (نسبة 3% للمؤسسات الصغيرة لا تنطبق على استخراج الثروات الطبيعية)</t>
  </si>
  <si>
    <t>الضمانات البنكية (وزارة الطاقة والمعادن / هيئة البيئة)</t>
  </si>
  <si>
    <t>من الدراسة الأصلية — عولجت كوديعة مستردة في نهاية المشروع لا كمصروف</t>
  </si>
  <si>
    <t>عمولة الضمان البنكي السنوية</t>
  </si>
  <si>
    <t>افتراض يحتاج تأكيداً من البنك</t>
  </si>
  <si>
    <t>خامساً: العمالة</t>
  </si>
  <si>
    <t>اشتراك صاحب العمل في صندوق الحماية الاجتماعية — العمانيون</t>
  </si>
  <si>
    <t>% من الأجر</t>
  </si>
  <si>
    <t>مصدر منشور: شيخوخة وعجز ووفاة 11% + إصابات عمل 1% + أمان وظيفي 0.5% + أمومة 1% + إجازات مرضية 1% (من يوليو 2026)</t>
  </si>
  <si>
    <t>اشتراكات صاحب العمل — الوافدون</t>
  </si>
  <si>
    <t>أمومة 1% + إصابات عمل 1% + إجازات مرضية 1% — يُتحقق من الصندوق</t>
  </si>
  <si>
    <t>مخصص نهاية الخدمة / نظام الادخار للوافدين</t>
  </si>
  <si>
    <t>نظام الادخار 9% اعتباراً من يوليو 2027 (وقبله مكافأة نهاية الخدمة: راتب شهر عن كل سنة)</t>
  </si>
  <si>
    <t>التأمين الصحي وتأمين العمال للوافد</t>
  </si>
  <si>
    <t>ر.ع / عامل / سنة</t>
  </si>
  <si>
    <t>من الدراسة الأصلية (4,800 ÷ 12 عاملاً)</t>
  </si>
  <si>
    <t>رسوم مأذونية العمل — مهن الفئة الثانية</t>
  </si>
  <si>
    <t>ر.ع / سنتين</t>
  </si>
  <si>
    <t>مصدر منشور: قرار وزارة العمل 602/2025 (صلاحية 24 شهراً)</t>
  </si>
  <si>
    <t>رسوم مأذونية العمل — مهن الفئة الثالثة</t>
  </si>
  <si>
    <t>مصدر منشور: قرار وزارة العمل 602/2025</t>
  </si>
  <si>
    <t>مصاريف استقدام أخرى للوافد (فحص طبي، بطاقة مقيم، تأشيرة)</t>
  </si>
  <si>
    <t>ر.ع / عامل</t>
  </si>
  <si>
    <t>افتراض</t>
  </si>
  <si>
    <t>الحد الأدنى لأجر العامل العُماني</t>
  </si>
  <si>
    <t>ر.ع / شهر</t>
  </si>
  <si>
    <t>يُستخدم للتحقق من الرواتب في ورقة «الموارد البشرية»</t>
  </si>
  <si>
    <t>سادساً: التشغيل</t>
  </si>
  <si>
    <t>سعر الديزل</t>
  </si>
  <si>
    <t>ر.ع / لتر</t>
  </si>
  <si>
    <t>مصدر منشور: سعر السوق المحلي، أكتوبر 2026</t>
  </si>
  <si>
    <t>التضخم السنوي للتكاليف</t>
  </si>
  <si>
    <t>تأمين المعدات المملوكة</t>
  </si>
  <si>
    <t>% من التكلفة سنوياً</t>
  </si>
  <si>
    <t>افتراض يحتاج تأكيداً بعرض شركة التأمين</t>
  </si>
  <si>
    <t>مصاريف إدارية وعمومية (تدقيق، قرطاسية، رسوم، بنوك)</t>
  </si>
  <si>
    <t>ر.ع / سنة</t>
  </si>
  <si>
    <t>افتراض (الدراسة الأصلية: صفر)</t>
  </si>
  <si>
    <t>المنافع العامة (كهرباء، ماء، اتصالات)</t>
  </si>
  <si>
    <t>الفحص المخبري وأخذ العينات والتسويق</t>
  </si>
  <si>
    <t>إعادة تأهيل الموقع (تدريجي)</t>
  </si>
  <si>
    <t>افتراض — التزام قانوني بموجب قانون الثروة المعدنية والتصريح البيئي</t>
  </si>
  <si>
    <t>تجديد التراخيص والرسوم الحكومية</t>
  </si>
  <si>
    <t>افتراض: تصريح بيئي 400 + ترخيص بلدي 100 + ما يعادل تجديد ترخيص التعدين (5,500 ÷ 5 سنوات)</t>
  </si>
  <si>
    <t>سابعاً: التمويل والتقييم</t>
  </si>
  <si>
    <t>مبلغ القرض البنكي</t>
  </si>
  <si>
    <t>افتراض يحتاج تأكيداً — ضع صفراً إذا كان التمويل ذاتياً بالكامل</t>
  </si>
  <si>
    <t>معدل الفائدة السنوي</t>
  </si>
  <si>
    <t>افتراض يحتاج تأكيداً من الجهة الممولة</t>
  </si>
  <si>
    <t>مدة سداد القرض (أقساط سنوية متساوية)</t>
  </si>
  <si>
    <t>افتراض (من 1 إلى 10 سنوات)</t>
  </si>
  <si>
    <t>رأس المال العامل — عدد أشهر التغطية</t>
  </si>
  <si>
    <t>شهر</t>
  </si>
  <si>
    <t>افتراض: تغطية التكاليف النقدية حتى تحصيل قيمة أولى الشحنات</t>
  </si>
  <si>
    <t>معدل الخصم</t>
  </si>
  <si>
    <t>افتراض: يعكس مخاطر التعدين الصغير وتقلب أسعار الكروم</t>
  </si>
  <si>
    <t>التراخيص اللازمة لمزاولة النشاط والإطار التنظيمي</t>
  </si>
  <si>
    <t>الرسوم من الدراسة الأصلية — تُراجع مع جدول الرسوم الساري لدى وزارة الطاقة والمعادن وهيئة البيئة قبل التقديم</t>
  </si>
  <si>
    <t>الترخيص</t>
  </si>
  <si>
    <t>الجهة المانحة</t>
  </si>
  <si>
    <t>الرسوم (ر.ع)</t>
  </si>
  <si>
    <t>المرحلة</t>
  </si>
  <si>
    <t>متطلبات الحصول على الترخيص</t>
  </si>
  <si>
    <t>ترخيص التنقيب</t>
  </si>
  <si>
    <t>وزارة الطاقة والمعادن</t>
  </si>
  <si>
    <t>الاستكشاف (منجز)</t>
  </si>
  <si>
    <t>موافقة الجهات المختصة على الموقع المحدد: هيئة البيئة، وزارة الإسكان والتخطيط العمراني، وزارة التراث والسياحة، شرطة عُمان السلطانية، وزارة الدفاع، وزارة الثروة الزراعية والسمكية وموارد المياه، وزارة الداخلية</t>
  </si>
  <si>
    <t>التصريح البيئي للتنقيب</t>
  </si>
  <si>
    <t>هيئة البيئة</t>
  </si>
  <si>
    <t>موافقة وزارة الطاقة والمعادن، ودراسة بيئية تثبت عدم وجود تأثيرات بيئية في الموقع</t>
  </si>
  <si>
    <t>ترخيص التعدين</t>
  </si>
  <si>
    <t>قبل الإنتاج</t>
  </si>
  <si>
    <t>تقرير تنقيبي شامل (الحفر والعينات)، تقدير الاحتياطي، دراسة الجدوى وخطة التعدين، الضمان المالي</t>
  </si>
  <si>
    <t>التصريح البيئي للتعدين</t>
  </si>
  <si>
    <t>صدور الموافقة على ترخيص التعدين، ودراسة الأثر البيئي وخطة إعادة التأهيل</t>
  </si>
  <si>
    <t>الترخيص البلدي</t>
  </si>
  <si>
    <t>بلدية شمال الشرقية</t>
  </si>
  <si>
    <t>السجل التجاري وعقود إيجار المواقع</t>
  </si>
  <si>
    <t>إجمالي تكلفة إصدار التراخيص</t>
  </si>
  <si>
    <t>الإطار التنظيمي الذي بُنيت عليه الدراسة</t>
  </si>
  <si>
    <t>الموضوع</t>
  </si>
  <si>
    <t>المرجع</t>
  </si>
  <si>
    <t>الحكم وأثره في الدراسة</t>
  </si>
  <si>
    <t>الإتاوة</t>
  </si>
  <si>
    <t>قانون الثروة المعدنية (م.س 19/2019)</t>
  </si>
  <si>
    <t>لا تقل عن 5% من إجمالي الإنتاج السنوي للخام المستغل. اعتُمدت 5% في الدراسة، وتُؤكَّد النسبة المحددة في ترخيص المشروع.</t>
  </si>
  <si>
    <t>قانون الثروة المعدنية</t>
  </si>
  <si>
    <t>لا تقل عن 1% من الإنتاج السنوي تُدفع للجهة التي يحددها مجلس الوزراء. اعتُمدت 1%.</t>
  </si>
  <si>
    <t>الضمان المالي والإيجار السنوي</t>
  </si>
  <si>
    <t>ضمان مالي لا يقل عن 1% من تكلفة المشروع قبل إصدار الترخيص، وإيجار سنوي للمساحة المرخصة. الدراسة تعتمد ضمانات بقيمة 55,000 ر.ع كما في الملف الأصلي.</t>
  </si>
  <si>
    <t>تصدير خام الكروم</t>
  </si>
  <si>
    <t>قرار وزارة الطاقة والمعادن 18/2025</t>
  </si>
  <si>
    <t>الحق الحصري في التصدير لشركة متاجرة المعادن (تابعة لشركة تنمية معادن عُمان)؛ لا يُصدَّر الخام بتركيز أقل من 36% ما لم يكن معالجاً وبموافقة كتابية من الوزارة؛ وللسوق المحلي حق الأولوية في الشراء. نافذ منذ منتصف 2026.</t>
  </si>
  <si>
    <t>قانون ضريبة الدخل</t>
  </si>
  <si>
    <t>15% على الربح الخاضع للضريبة. النسبة المخفضة 3% للمؤسسات الصغيرة لا تشمل أنشطة استخراج الثروات الطبيعية.</t>
  </si>
  <si>
    <t>ضريبة القيمة المضافة</t>
  </si>
  <si>
    <t>قانون ضريبة القيمة المضافة</t>
  </si>
  <si>
    <t>5% على المبيعات المحلية والصادرات بنسبة صفر. تُحصَّل من المشتري وتُسترد على المشتريات، لذلك لم تُدرج ضمن التكاليف.</t>
  </si>
  <si>
    <t>مأذونيات العمل</t>
  </si>
  <si>
    <t>قرار وزارة العمل 602/2025</t>
  </si>
  <si>
    <t>صلاحية 24 شهراً؛ الرسوم 301 / 251 / 201 ر.ع حسب فئة المهنة؛ تخفيض 30% عند الالتزام بنسب التعمين ومضاعفتها عند عدم الالتزام.</t>
  </si>
  <si>
    <t>الحماية الاجتماعية</t>
  </si>
  <si>
    <t>قانون الحماية الاجتماعية (م.س 52/2023)</t>
  </si>
  <si>
    <t>اشتراك صاحب العمل عن العُماني 14.5% من الأجر، واشتراكات الأمومة وإصابات العمل والإجازات المرضية عن الوافد، ونظام ادخار للوافدين 9% من يوليو 2027.</t>
  </si>
  <si>
    <t>تحليل السوق وبناء سعر البيع</t>
  </si>
  <si>
    <t>السعر المعتمد يُحتسب بطريقة صافي العائد (Netback) من السعر المرجعي العالمي نزولاً إلى موقع التجميع</t>
  </si>
  <si>
    <t>المصدر / ملاحظات</t>
  </si>
  <si>
    <t>أولاً: سوق خام الكروم في سلطنة عُمان</t>
  </si>
  <si>
    <t>إنتاج السلطنة من خام الكروم (2025)</t>
  </si>
  <si>
    <t>طن</t>
  </si>
  <si>
    <t>وزارة الطاقة والمعادن — منشور في Times of Oman</t>
  </si>
  <si>
    <t>مبيعات خام الكروم (2025)</t>
  </si>
  <si>
    <t>المصدر نفسه</t>
  </si>
  <si>
    <t>قيمة المبيعات (2025)</t>
  </si>
  <si>
    <t>«تجاوزت 15 مليون ر.ع» — المصدر نفسه</t>
  </si>
  <si>
    <t>متوسط السعر المحقق وطنياً (2025)</t>
  </si>
  <si>
    <t>محتسب: يشمل جميع الدرجات والمبيعات المحلية والتصدير — رقم مرجعي للتحقق من واقعية سعر الدراسة</t>
  </si>
  <si>
    <t>عدد المحاجر العاملة</t>
  </si>
  <si>
    <t>محجر</t>
  </si>
  <si>
    <t>من ولاية شناص إلى ولاية وادي بني خالد</t>
  </si>
  <si>
    <t>متوسط إنتاج المحجر الواحد</t>
  </si>
  <si>
    <t>طن / سنة</t>
  </si>
  <si>
    <t>محتسب — يُقارن بالطاقة الإنتاجية للمشروع</t>
  </si>
  <si>
    <t>الإنتاج المستهدف للسلطنة بحلول 2030</t>
  </si>
  <si>
    <t>شركة تنمية معادن عُمان — Oman Observer</t>
  </si>
  <si>
    <t>الحد الأدنى لدرجة تصدير الخام غير المعالج</t>
  </si>
  <si>
    <t>القرار الوزاري 18/2025 — التصدير حصري عبر شركة متاجرة المعادن، وللسوق المحلي حق الأولوية</t>
  </si>
  <si>
    <t>ثانياً: الأسعار المرجعية العالمية — CIF الصين (SMM، 30 سبتمبر 2026)</t>
  </si>
  <si>
    <t>كروم عُماني كتل 30–32%</t>
  </si>
  <si>
    <t>النطاق 200–210 (وكان 192.5 في 17 يونيو 2026)</t>
  </si>
  <si>
    <t>كروم جنوب أفريقيا كتل 38%</t>
  </si>
  <si>
    <t>النطاق 255–260</t>
  </si>
  <si>
    <t>مركزات جنوب أفريقيا 40–42%</t>
  </si>
  <si>
    <t>النطاق 265–270</t>
  </si>
  <si>
    <t>كروم تركي كتل 40–42%</t>
  </si>
  <si>
    <t>النطاق 335–345 — يوضح علاوة الدرجات العالية والكتل الصلبة</t>
  </si>
  <si>
    <t>ثالثاً: بناء سعر البيع المعتمد (صافي العائد عند موقع التجميع)</t>
  </si>
  <si>
    <t>السعر المرجعي CIF الصين للخام 30–32%</t>
  </si>
  <si>
    <t>من ورقة الافتراضات</t>
  </si>
  <si>
    <t>سعر وحدة الكروم (لكل 1% Cr2O3)</t>
  </si>
  <si>
    <t>دولار / وحدة</t>
  </si>
  <si>
    <t>السعر المرجعي ÷ درجة الخام المرجعي</t>
  </si>
  <si>
    <t>درجة خام المشروع</t>
  </si>
  <si>
    <t>السعر المعادل CIF لخام المشروع</t>
  </si>
  <si>
    <t>(-) الشحن البحري</t>
  </si>
  <si>
    <t>(-) المناولة والتخزين والتحميل في الميناء</t>
  </si>
  <si>
    <t>(-) هامش التسويق والفحص والتمويل</t>
  </si>
  <si>
    <t>صافي السعر تسليم الميناء</t>
  </si>
  <si>
    <t>(-) النقل البري من موقع التجميع إلى الميناء</t>
  </si>
  <si>
    <t>صافي العائد عند موقع التجميع</t>
  </si>
  <si>
    <t>(-) الخصم التحوّطي</t>
  </si>
  <si>
    <t>سعر البيع المعتمد في الدراسة</t>
  </si>
  <si>
    <t>يُستبدل بالسعر التعاقدي الفعلي عند توفر عقد أو عرض شراء</t>
  </si>
  <si>
    <t>رابعاً: التحقق</t>
  </si>
  <si>
    <t>نسبة سعر الدراسة إلى المتوسط الوطني المحقق 2025</t>
  </si>
  <si>
    <t>مرة</t>
  </si>
  <si>
    <t>السعر المعتمد أعلى من متوسط 2025 لأن أسعار 2026 أعلى ولأن المتوسط الوطني يشمل الدرجات المنخفضة — يُختبر سعر المتوسط الوطني في «تحليل الحساسية»</t>
  </si>
  <si>
    <t>هل تحقق درجة الخام شرط تصدير الخام غير المعالج؟</t>
  </si>
  <si>
    <t>الخطة الفنية وبرنامج الإنتاج</t>
  </si>
  <si>
    <t>محجر مكشوف — تكسير ميكانيكي بالكسارات الهيدروليكية (بدون تفجير) — فرز يدوي — بيع من موقع التجميع</t>
  </si>
  <si>
    <t>عدد الحفارات المزودة بكسارة هيدروليكية (مملوكة)</t>
  </si>
  <si>
    <t>عدد</t>
  </si>
  <si>
    <t>من ورقة «الأصول والإهلاك»</t>
  </si>
  <si>
    <t>ساعات التشغيل الفعلية للمعدة في السنة</t>
  </si>
  <si>
    <t>أيام العمل × ساعات الوردية × معامل الجاهزية</t>
  </si>
  <si>
    <t>إجمالي الصخور المحفورة سنوياً (خام + عقيم)</t>
  </si>
  <si>
    <t>عدد الحفارات × الإنتاجية × ساعات التشغيل</t>
  </si>
  <si>
    <t>الخام الخارج من المحجر (ROM)</t>
  </si>
  <si>
    <t>إجمالي الصخور ÷ (1 + نسبة التعرية)</t>
  </si>
  <si>
    <t>الصخور العقيمة المزالة</t>
  </si>
  <si>
    <t>الخام القابل للبيع بعد الفرز (الطاقة الإنتاجية)</t>
  </si>
  <si>
    <t>ROM × نسبة الاسترداد</t>
  </si>
  <si>
    <t>للمقارنة: متوسط إنتاج المحجر الواحد في السلطنة (2025)</t>
  </si>
  <si>
    <t>353,538 طن ÷ 29 محجراً — من ورقة «السوق والسعر»</t>
  </si>
  <si>
    <t>عمر المحجر عند الطاقة الكاملة</t>
  </si>
  <si>
    <t>الاحتياطي ÷ الخام المستخرج سنوياً</t>
  </si>
  <si>
    <t>برنامج الإنتاج السنوي</t>
  </si>
  <si>
    <t>الإجمالي</t>
  </si>
  <si>
    <t>نسبة استغلال الطاقة الإنتاجية</t>
  </si>
  <si>
    <t>إجمالي الصخور المحفورة</t>
  </si>
  <si>
    <t>الخام القابل للبيع</t>
  </si>
  <si>
    <t>الاستنزاف التراكمي للاحتياطي</t>
  </si>
  <si>
    <t>الاحتياطي المتبقي آخر السنة</t>
  </si>
  <si>
    <t>كفاية الاحتياطي لمدة الدراسة</t>
  </si>
  <si>
    <t>أسلوب التعدين وتسلسل العمليات</t>
  </si>
  <si>
    <t>1) إزالة الغطاء والصخور العقيمة وتكسير الصخر بحفارين فئة 35 طناً مزودين بكسارات هيدروليكية (مملوكين).</t>
  </si>
  <si>
    <t>2) تحميل الصخور والخام بحفار هيتاشي 240 وشيول (مستأجرين)، ونقل العقيم إلى المرمى والخام إلى ساحة الفرز بقلاب.</t>
  </si>
  <si>
    <t>3) فرز وتنقية الخام يدوياً (5 عمال) لرفع الدرجة واستبعاد الشوائب، ثم نقله إلى موقع التجميع.</t>
  </si>
  <si>
    <t>4) أخذ العينات وتحليلها مخبرياً لكل دفعة، ثم البيع من موقع التجميع — المشتري يتولى النقل إلى الميناء.</t>
  </si>
  <si>
    <t>5) إعادة تأهيل تدريجية للمواقع المستنزفة وفق التصريح البيئي وخطة الإغلاق.</t>
  </si>
  <si>
    <t>ملاحظة: الدراسة لا تتضمن حفراً وتفجيراً. إذا تبيّن أن الصخر يحتاج تفجيراً فتُضاف تكاليف المتفجرات والتراخيص الأمنية ومقاول التفجير.</t>
  </si>
  <si>
    <t>مراحل وخطة تنفيذ المشروع</t>
  </si>
  <si>
    <t>التسلسل الصحيح: استكشاف ← دراسات وتراخيص ← تمويل وتجهيز ← تأهيل الموقع ← إنتاج. المدد تقديرية وتُعدَّل من عمودي «شهر البداية» و«المدة»</t>
  </si>
  <si>
    <t>المهمة</t>
  </si>
  <si>
    <t>الجهة / التفاصيل</t>
  </si>
  <si>
    <t>شهر البداية</t>
  </si>
  <si>
    <t>المدة (شهر)</t>
  </si>
  <si>
    <t>تاريخ البداية</t>
  </si>
  <si>
    <t>تاريخ النهاية</t>
  </si>
  <si>
    <t>المرحلة التمهيدية — الاستكشاف (منجزة)</t>
  </si>
  <si>
    <t>ترخيص التنقيب والتصريح البيئي للتنقيب</t>
  </si>
  <si>
    <t>وزارة الطاقة والمعادن / هيئة البيئة — منجز</t>
  </si>
  <si>
    <t>فتح الطريق وأعمال التنقيب وأخذ العينات</t>
  </si>
  <si>
    <t>منجز خلال السنوات الثلاث الماضية (مصاريف مدفوعة سابقاً)</t>
  </si>
  <si>
    <t>المرحلة الأولى — الدراسات والتراخيص</t>
  </si>
  <si>
    <t>التقرير الاستكشافي وتقدير الاحتياطي والدرجة</t>
  </si>
  <si>
    <t>جيولوجي معتمد / مختبر تحاليل</t>
  </si>
  <si>
    <t>دراسة الجدوى وخطة التعدين والمخططات الهندسية</t>
  </si>
  <si>
    <t>مكتب استشاري</t>
  </si>
  <si>
    <t>دراسة الأثر البيئي والتصريح البيئي للتعدين</t>
  </si>
  <si>
    <t>طلب ترخيص التعدين وموافقات الجهات المختصة</t>
  </si>
  <si>
    <t>تقديم الضمانات البنكية</t>
  </si>
  <si>
    <t>البنك / وزارة الطاقة والمعادن / هيئة البيئة</t>
  </si>
  <si>
    <t>المرحلة الثانية — التمويل والتجهيز</t>
  </si>
  <si>
    <t>اعتماد التمويل وتوقيع عقد القرض</t>
  </si>
  <si>
    <t>الجهة الممولة</t>
  </si>
  <si>
    <t>التعاقد على بيع وتسويق الخام</t>
  </si>
  <si>
    <t>شركة متاجرة المعادن / مشترون محليون</t>
  </si>
  <si>
    <t>استئجار السكن والمكتب وموقع التجميع</t>
  </si>
  <si>
    <t>3 مواقع</t>
  </si>
  <si>
    <t>توظيف الكادر العُماني</t>
  </si>
  <si>
    <t>مدير، محاسب، جيولوجي، مشرفان، سائق، 4 حراس</t>
  </si>
  <si>
    <t>استخراج مأذونيات العمالة الوافدة والتأشيرات</t>
  </si>
  <si>
    <t>وزارة العمل / شرطة عُمان السلطانية — 12 عاملاً</t>
  </si>
  <si>
    <t>شراء الحفارات والكسارات الهيدروليكية</t>
  </si>
  <si>
    <t>حفاران فئة 35 طناً</t>
  </si>
  <si>
    <t>شراء معدات الأمن والسلامة والأجهزة والأثاث</t>
  </si>
  <si>
    <t>استئجار المعدات والمركبات</t>
  </si>
  <si>
    <t>حفار 240، شيول، قلاب، بيك أب، مولد</t>
  </si>
  <si>
    <t>المرحلة الثالثة — تأهيل الموقع</t>
  </si>
  <si>
    <t>تأهيل الطريق المؤدي إلى الموقع</t>
  </si>
  <si>
    <t>تجهيز الموقع وإزالة الغطاء الصخري (التعرية الأولية)</t>
  </si>
  <si>
    <t>المرحلة الرابعة — الإنتاج</t>
  </si>
  <si>
    <t>الإنتاج التجريبي ثم التجاري (بداية السنة الأولى في الدراسة)</t>
  </si>
  <si>
    <t>بيع أولى الشحنات</t>
  </si>
  <si>
    <t>مدة التأسيس حتى بدء الإنتاج</t>
  </si>
  <si>
    <t>ملاحظة: مدة إصدار ترخيص التعدين تتفاوت كثيراً بحسب موافقات الجهات المختصة — يُنصح بهامش زمني إضافي عند الالتزام مع الممولين والمورّدين.</t>
  </si>
  <si>
    <t>الأصول الثابتة وجدول الإهلاك</t>
  </si>
  <si>
    <t>إهلاك بطريقة القسط الثابت. المركبات والشيول والقلاب مستأجرة (انظر ورقة «الإيجارات»)</t>
  </si>
  <si>
    <t>الأصل</t>
  </si>
  <si>
    <t>العدد</t>
  </si>
  <si>
    <t>سعر الوحدة (ر.ع)</t>
  </si>
  <si>
    <t>التكلفة الإجمالية</t>
  </si>
  <si>
    <t>العمر الإنتاجي (سنة)</t>
  </si>
  <si>
    <t>القيمة التخريدية %</t>
  </si>
  <si>
    <t>يُستبدل عند انتهاء العمر (1 = نعم)</t>
  </si>
  <si>
    <t>الإهلاك السنوي</t>
  </si>
  <si>
    <t>حفار زنجيري فئة 35 طناً مع كسارة هيدروليكية</t>
  </si>
  <si>
    <t>إجمالي 215,000 من الدراسة الأصلية؛ التفصيل (وحدتان) افتراض — يُؤكَّد بعروض أسعار</t>
  </si>
  <si>
    <t>أثاث وتجهيزات المكتب والسكن</t>
  </si>
  <si>
    <t>4,000 من الدراسة الأصلية</t>
  </si>
  <si>
    <t>معدات الأمن والسلامة والأجهزة</t>
  </si>
  <si>
    <t>البند وارد في الجدول الزمني الأصلي دون قيمة — افتراض يُؤكَّد بعرض سعر</t>
  </si>
  <si>
    <t>إجمالي الأصول الثابتة</t>
  </si>
  <si>
    <t>جدول الإهلاك والاستبدال</t>
  </si>
  <si>
    <t>إهلاك الحفارات والكسارات</t>
  </si>
  <si>
    <t>إهلاك الأثاث والتجهيزات</t>
  </si>
  <si>
    <t>إهلاك معدات الأمن والسلامة</t>
  </si>
  <si>
    <t>إجمالي الإهلاك السنوي</t>
  </si>
  <si>
    <t>استبدال الأصول (نفقات رأسمالية)</t>
  </si>
  <si>
    <t>الأصول بالتكلفة (تراكمي)</t>
  </si>
  <si>
    <t>مجمع الإهلاك</t>
  </si>
  <si>
    <t>صافي القيمة الدفترية آخر السنة</t>
  </si>
  <si>
    <t>صافي القيمة الدفترية في نهاية السنة العاشرة يُدرج كقيمة تخريدية في التدفقات النقدية.</t>
  </si>
  <si>
    <t>تُرسمل وتُطفأ على سنوات التشغيل. الضمانات البنكية نُقلت إلى التكلفة الاستثمارية كوديعة مستردة</t>
  </si>
  <si>
    <t>البيان</t>
  </si>
  <si>
    <t>القيمة (ر.ع)</t>
  </si>
  <si>
    <t>الحالة</t>
  </si>
  <si>
    <t>رسوم التراخيص اللازمة للمشروع</t>
  </si>
  <si>
    <t>محتسب</t>
  </si>
  <si>
    <t>من ورقة «التراخيص» (كان رابطاً خارجياً مكسوراً يعطي صفراً في الملف الأصلي)</t>
  </si>
  <si>
    <t>الاستشارات الإدارية والمالية والفنية</t>
  </si>
  <si>
    <t>المخططات الهندسية والتصميمية</t>
  </si>
  <si>
    <t>تكلفة مأذونيات استقدام العمالة الوافدة</t>
  </si>
  <si>
    <t>من ورقة «الموارد البشرية» وفق رسوم وزارة العمل (الملف الأصلي ذكر 3,420 في ورقة و2,420 في أخرى)</t>
  </si>
  <si>
    <t>مصاريف الاستكشاف وفتح الطريق والمعدات المدفوعة خلال السنوات الثلاث الماضية</t>
  </si>
  <si>
    <t>يحتاج تأكيداً</t>
  </si>
  <si>
    <t>الملف الأصلي ذكر 200,000 في ورقة و257,000 في أخرى — اعتُمد 200,000 ويجب تأكيد الرقم الصحيح بالمستندات</t>
  </si>
  <si>
    <t>مدة الإطفاء</t>
  </si>
  <si>
    <t>على مدة التشغيل في الدراسة</t>
  </si>
  <si>
    <t>الإطفاء السنوي</t>
  </si>
  <si>
    <t>الموارد البشرية — الأجور والرواتب والتأمينات</t>
  </si>
  <si>
    <t>الوظائف والأعداد والرواتب من الدراسة الأصلية (مع تصحيح راتب الحارس إلى الحد الأدنى للأجور)</t>
  </si>
  <si>
    <t>الوظيفة</t>
  </si>
  <si>
    <t>الفئة</t>
  </si>
  <si>
    <t>الجنسية</t>
  </si>
  <si>
    <t>الراتب الشهري (ر.ع)</t>
  </si>
  <si>
    <t>إجمالي الرواتب الشهرية</t>
  </si>
  <si>
    <t>الإجمالي السنوي</t>
  </si>
  <si>
    <t>فئة مأذونية العمل</t>
  </si>
  <si>
    <t>مدير المشروع</t>
  </si>
  <si>
    <t>إدارية</t>
  </si>
  <si>
    <t>عماني</t>
  </si>
  <si>
    <t>محاسب</t>
  </si>
  <si>
    <t>سائق</t>
  </si>
  <si>
    <t>حارس</t>
  </si>
  <si>
    <t>في الأصل 320 ر.ع — رُفع إلى الحد الأدنى للأجور 325 ر.ع</t>
  </si>
  <si>
    <t>مهندس جيولوجي</t>
  </si>
  <si>
    <t>فنية</t>
  </si>
  <si>
    <t>مشرف الأمن والسلامة</t>
  </si>
  <si>
    <t>مشرف عمليات</t>
  </si>
  <si>
    <t>عامل فرز وتنقية الخام</t>
  </si>
  <si>
    <t>وافد</t>
  </si>
  <si>
    <t>ورد في الأصل باسم «عمال صقل أحجار»</t>
  </si>
  <si>
    <t>مشغل حفار</t>
  </si>
  <si>
    <t>3 حفارات + مشغل بديل</t>
  </si>
  <si>
    <t>مشغل شيول</t>
  </si>
  <si>
    <t>سائق قلاب (تيبر)</t>
  </si>
  <si>
    <t>طباخ</t>
  </si>
  <si>
    <t>ثانياً: ملخص العمالة</t>
  </si>
  <si>
    <t>عدد العُمانيين</t>
  </si>
  <si>
    <t>عدد الوافدين</t>
  </si>
  <si>
    <t>رواتب العُمانيين السنوية</t>
  </si>
  <si>
    <t>رواتب الوافدين السنوية</t>
  </si>
  <si>
    <t>رواتب العمالة الإدارية السنوية</t>
  </si>
  <si>
    <t>رواتب العمالة الفنية السنوية</t>
  </si>
  <si>
    <t>التحقق من الحد الأدنى لأجور العُمانيين</t>
  </si>
  <si>
    <t>ثالثاً: التأمينات والاشتراكات السنوية على صاحب العمل</t>
  </si>
  <si>
    <t>صندوق الحماية الاجتماعية — العُمانيون</t>
  </si>
  <si>
    <t>اشتراكات الحماية الاجتماعية — الوافدون</t>
  </si>
  <si>
    <t>مخصص نهاية الخدمة / الادخار للوافدين</t>
  </si>
  <si>
    <t>التأمين الصحي وتأمين العمال للوافدين</t>
  </si>
  <si>
    <t>إجمالي التأمينات والاشتراكات</t>
  </si>
  <si>
    <t>للمقارنة: الدراسة الأصلية قدّرت التأمينات بـ 7,880 ر.ع فقط (3,080 للعُمانيين — أقل من النسبة النظامية 14.5%).</t>
  </si>
  <si>
    <t>رابعاً: مأذونيات العمل للوافدين</t>
  </si>
  <si>
    <t>عدد مأذونيات الفئة الثانية</t>
  </si>
  <si>
    <t>مأذونية</t>
  </si>
  <si>
    <t>عدد مأذونيات الفئة الثالثة</t>
  </si>
  <si>
    <t>رسوم المأذونيات (تتجدد كل سنتين)</t>
  </si>
  <si>
    <t>مصاريف استقدام أخرى</t>
  </si>
  <si>
    <t>إجمالي تكلفة الاستقدام الأولي</t>
  </si>
  <si>
    <t>الإيجارات — المواقع والمعدات والمركبات</t>
  </si>
  <si>
    <t>إيجار المعدات بدون مشغل وبدون وقود (المشغلون ضمن الموارد البشرية والوقود ضمن المواد المستهلكة)</t>
  </si>
  <si>
    <t>الإيجار الشهري للوحدة (ر.ع)</t>
  </si>
  <si>
    <t>عدد الأشهر</t>
  </si>
  <si>
    <t>أولاً: إيجار المواقع</t>
  </si>
  <si>
    <t>سكن العمال</t>
  </si>
  <si>
    <t>المكتب</t>
  </si>
  <si>
    <t>موقع تجميع الخام</t>
  </si>
  <si>
    <t>إجمالي إيجار المواقع السنوي</t>
  </si>
  <si>
    <t>ثانياً: إيجار المعدات والمركبات</t>
  </si>
  <si>
    <t>سيارة بيك أب (دفع رباعي)</t>
  </si>
  <si>
    <t>حفار هيتاشي 240 (للتحميل والفرز)</t>
  </si>
  <si>
    <t>مولد كهرباء</t>
  </si>
  <si>
    <t>شيول (لودر بعجلات)</t>
  </si>
  <si>
    <t>مضاف: الدراسة الأصلية تتضمن مشغل شيول وتذكر استئجاره في الجدول الزمني دون إدراج إيجاره — السعر افتراض يُؤكَّد بعرض</t>
  </si>
  <si>
    <t>قلاب (تيبر)</t>
  </si>
  <si>
    <t>مضاف: الدراسة الأصلية تتضمن سائق قلاب وتذكر استئجاره دون إدراج إيجاره — السعر افتراض يُؤكَّد بعرض</t>
  </si>
  <si>
    <t>إجمالي إيجار المعدات والمركبات السنوي</t>
  </si>
  <si>
    <t>إجمالي الإيجارات السنوية</t>
  </si>
  <si>
    <t>الوقود والمواد المستهلكة (عند الطاقة الكاملة)</t>
  </si>
  <si>
    <t>تفصيل من القاعدة إلى القمة بدلاً من الرقم المجمل في الدراسة الأصلية. «متغير» يتناسب مع نسبة استغلال الطاقة و«ثابت» لا يتغير</t>
  </si>
  <si>
    <t>المعدة / البند</t>
  </si>
  <si>
    <t>العدد / الأساس</t>
  </si>
  <si>
    <t>المعدل</t>
  </si>
  <si>
    <t>ساعات التشغيل السنوية</t>
  </si>
  <si>
    <t>الكمية السنوية (لتر)</t>
  </si>
  <si>
    <t>التكلفة السنوية (ر.ع)</t>
  </si>
  <si>
    <t>النوع</t>
  </si>
  <si>
    <t>أولاً: الوقود (ديزل) — المعدل باللتر في الساعة</t>
  </si>
  <si>
    <t>حفار 35 طناً مع كسارة هيدروليكية</t>
  </si>
  <si>
    <t>متغير</t>
  </si>
  <si>
    <t>معدل الاستهلاك افتراض يُراجَع من بيانات الشركة المصنّعة</t>
  </si>
  <si>
    <t>حفار هيتاشي 240</t>
  </si>
  <si>
    <t>شيول</t>
  </si>
  <si>
    <t>قلاب</t>
  </si>
  <si>
    <t>ثابت</t>
  </si>
  <si>
    <t>12 ساعة يومياً × 365 يوماً</t>
  </si>
  <si>
    <t>سيارة بيك أب</t>
  </si>
  <si>
    <t>نحو 10 لترات يومياً</t>
  </si>
  <si>
    <t>إجمالي الوقود</t>
  </si>
  <si>
    <t>ثانياً: مواد ومستلزمات أخرى</t>
  </si>
  <si>
    <t>زيوت وشحوم وفلاتر</t>
  </si>
  <si>
    <t>% من الوقود</t>
  </si>
  <si>
    <t>قطع الاستهلاك (رؤوس الكسارات، أسنان الحفارات)</t>
  </si>
  <si>
    <t>ر.ع / طن صخر</t>
  </si>
  <si>
    <t>إطارات (شيول، قلاب، بيك أب)</t>
  </si>
  <si>
    <t>مستلزمات السلامة والوقاية الشخصية</t>
  </si>
  <si>
    <t>مياه (صهاريج) للموقع والسكن</t>
  </si>
  <si>
    <t>تموين وإعاشة العمالة الوافدة</t>
  </si>
  <si>
    <t>ر.ع / عامل / شهر</t>
  </si>
  <si>
    <t>افتراض (الدراسة تتضمن طباخاً)</t>
  </si>
  <si>
    <t>إجمالي المواد المستهلكة عند الطاقة الكاملة</t>
  </si>
  <si>
    <t>منها: تكاليف متغيرة</t>
  </si>
  <si>
    <t>منها: تكاليف ثابتة</t>
  </si>
  <si>
    <t>للمقارنة: الرقم المجمل في الدراسة الأصلية</t>
  </si>
  <si>
    <t>كان مأخوذاً من ملف خارجي غير متوفر</t>
  </si>
  <si>
    <t>الكمية من «الخطة الفنية والإنتاج» والسعر من «السوق والسعر»</t>
  </si>
  <si>
    <t>الكمية المباعة</t>
  </si>
  <si>
    <t>إجمالي الإيرادات</t>
  </si>
  <si>
    <t>التكاليف التشغيلية السنوية</t>
  </si>
  <si>
    <t>التكاليف الثابتة لا تتغير مع الإنتاج؛ المتغيرة تتناسب مع نسبة استغلال الطاقة أو مع الإيرادات</t>
  </si>
  <si>
    <t>معامل التضخم</t>
  </si>
  <si>
    <t>معامل</t>
  </si>
  <si>
    <t>أولاً: التكاليف الثابتة</t>
  </si>
  <si>
    <t>الأجور والرواتب</t>
  </si>
  <si>
    <t>التأمينات واشتراكات العمالة</t>
  </si>
  <si>
    <t>إيجار المواقع</t>
  </si>
  <si>
    <t>إيجار المعدات والمركبات</t>
  </si>
  <si>
    <t>المواد المستهلكة — الجزء الثابت</t>
  </si>
  <si>
    <t>نسبة الصيانة من تكلفة المعدات المملوكة</t>
  </si>
  <si>
    <t>صيانة المعدات المملوكة</t>
  </si>
  <si>
    <t>تجديد مأذونيات العمل (كل سنتين)</t>
  </si>
  <si>
    <t>مصاريف إدارية وعمومية</t>
  </si>
  <si>
    <t>المنافع العامة</t>
  </si>
  <si>
    <t>الفحص المخبري والتسويق</t>
  </si>
  <si>
    <t>عمولة الضمان البنكي</t>
  </si>
  <si>
    <t>إعادة تأهيل الموقع</t>
  </si>
  <si>
    <t>إجمالي التكاليف الثابتة</t>
  </si>
  <si>
    <t>ثانياً: التكاليف المتغيرة</t>
  </si>
  <si>
    <t>المواد المستهلكة — الجزء المتغير</t>
  </si>
  <si>
    <t>إجمالي التكاليف المتغيرة</t>
  </si>
  <si>
    <t>إجمالي التكاليف التشغيلية النقدية</t>
  </si>
  <si>
    <t>التكلفة الاستثمارية ورأس المال العامل وهيكل التمويل</t>
  </si>
  <si>
    <t>تجمع كل ما يلزم إنفاقه قبل أول إيراد، مع بيان ما دُفع سابقاً وما يلزم تمويله</t>
  </si>
  <si>
    <t>النسبة</t>
  </si>
  <si>
    <t>أولاً: التكلفة الاستثمارية الإجمالية</t>
  </si>
  <si>
    <t>الأصول الثابتة</t>
  </si>
  <si>
    <t>مصاريف ما قبل التشغيل (شاملة مصاريف الاستكشاف السابقة)</t>
  </si>
  <si>
    <t>من ورقة «مصاريف ما قبل التشغيل»</t>
  </si>
  <si>
    <t>الضمانات البنكية (وديعة مستردة)</t>
  </si>
  <si>
    <t>تُسترد بعد إغلاق المحجر وإعادة تأهيله</t>
  </si>
  <si>
    <t>رأس المال العامل</t>
  </si>
  <si>
    <t>محتسب أدناه</t>
  </si>
  <si>
    <t>منها: مصاريف مدفوعة سابقاً</t>
  </si>
  <si>
    <t>مساهمة المالك المنفذة</t>
  </si>
  <si>
    <t>ثانياً: رأس المال العامل</t>
  </si>
  <si>
    <t>التكاليف التشغيلية النقدية للسنة الأولى</t>
  </si>
  <si>
    <t>من ورقة «التكاليف التشغيلية» (كان صفراً في الملف الأصلي بسبب الروابط المكسورة)</t>
  </si>
  <si>
    <t>عدد أشهر التغطية</t>
  </si>
  <si>
    <t>رأس المال العامل المطلوب</t>
  </si>
  <si>
    <t>ثالثاً: هيكل التمويل</t>
  </si>
  <si>
    <t>قرض بنكي</t>
  </si>
  <si>
    <t>مساهمة المالك — مدفوعة سابقاً</t>
  </si>
  <si>
    <t>مساهمة المالك — نقد جديد</t>
  </si>
  <si>
    <t>إجمالي مصادر التمويل</t>
  </si>
  <si>
    <t>نسبة القرض إلى الاستثمار الجديد</t>
  </si>
  <si>
    <t>رابعاً: جدول سداد القرض</t>
  </si>
  <si>
    <t>رصيد القرض أول السنة</t>
  </si>
  <si>
    <t>القسط السنوي (أصل + فائدة)</t>
  </si>
  <si>
    <t>الفائدة</t>
  </si>
  <si>
    <t>سداد أصل القرض</t>
  </si>
  <si>
    <t>رصيد القرض آخر السنة</t>
  </si>
  <si>
    <t>قائمة الدخل التقديرية</t>
  </si>
  <si>
    <t>عشر سنوات تشغيل — بالريال العُماني</t>
  </si>
  <si>
    <t>التكاليف الثابتة</t>
  </si>
  <si>
    <t>المواد المستهلكة المتغيرة</t>
  </si>
  <si>
    <t>الإتاوة ومساهمة تنمية المجتمع</t>
  </si>
  <si>
    <t>إجمالي التكاليف التشغيلية</t>
  </si>
  <si>
    <t>الإهلاك</t>
  </si>
  <si>
    <t>إطفاء مصاريف ما قبل التشغيل</t>
  </si>
  <si>
    <t>الربح التشغيلي (EBIT)</t>
  </si>
  <si>
    <t>فوائد القرض</t>
  </si>
  <si>
    <t>الربح قبل الضريبة</t>
  </si>
  <si>
    <t>خسائر ضريبية مرحّلة أول السنة</t>
  </si>
  <si>
    <t>خسائر ضريبية مرحّلة آخر السنة</t>
  </si>
  <si>
    <t>الوعاء الضريبي</t>
  </si>
  <si>
    <t>هامش EBITDA</t>
  </si>
  <si>
    <t>هامش صافي الربح</t>
  </si>
  <si>
    <t>ملاحظة: احتُسبت الضريبة على الربح المحاسبي (إهلاك القسط الثابت). الإهلاك الضريبي الفعلي للمعدات الثقيلة (33.33% رصيد متناقص) يؤجل جزءاً من الضريبة في السنوات الأولى.</t>
  </si>
  <si>
    <t>قائمة التدفقات النقدية التقديرية</t>
  </si>
  <si>
    <t>التدفقات الداخلة موجبة والخارجة سالبة — سنة التأسيس (0) ثم عشر سنوات تشغيل</t>
  </si>
  <si>
    <t>أولاً: التدفقات النقدية للمشروع (قبل التمويل)</t>
  </si>
  <si>
    <t>التكاليف التشغيلية النقدية</t>
  </si>
  <si>
    <t>الأصول الثابتة واستبدالها</t>
  </si>
  <si>
    <t>الضمانات البنكية (إيداع / استرداد)</t>
  </si>
  <si>
    <t>رأس المال العامل (تكوين / استرداد)</t>
  </si>
  <si>
    <t>القيمة التخريدية للأصول</t>
  </si>
  <si>
    <t>صافي التدفق النقدي للمشروع</t>
  </si>
  <si>
    <t>التدفق النقدي التراكمي</t>
  </si>
  <si>
    <t>معامل الخصم</t>
  </si>
  <si>
    <t>التدفق النقدي المخصوم</t>
  </si>
  <si>
    <t>التدفق المخصوم التراكمي</t>
  </si>
  <si>
    <t>ثانياً: التدفقات باستبعاد المصاريف المدفوعة سابقاً (الاستثمار الجديد فقط)</t>
  </si>
  <si>
    <t>صافي التدفق النقدي — الاستثمار الجديد</t>
  </si>
  <si>
    <t>ثالثاً: التمويل والتدفقات للمالك</t>
  </si>
  <si>
    <t>سحب القرض</t>
  </si>
  <si>
    <t>صافي التدفق النقدي للمالك</t>
  </si>
  <si>
    <t>الرصيد النقدي التراكمي للمالك</t>
  </si>
  <si>
    <t>معدل تغطية خدمة الدين (DSCR)</t>
  </si>
  <si>
    <t>مؤشرات الجدوى المالية</t>
  </si>
  <si>
    <t>محتسبة من قائمة التدفقات النقدية وقائمة الدخل</t>
  </si>
  <si>
    <t>التفسير</t>
  </si>
  <si>
    <t>أولاً: على إجمالي الاستثمار (شاملاً المصاريف المدفوعة سابقاً)</t>
  </si>
  <si>
    <t>موجب = المشروع يحقق عائداً أعلى من معدل الخصم</t>
  </si>
  <si>
    <t>يُقارن بمعدل الخصم وبتكلفة التمويل</t>
  </si>
  <si>
    <t>من بداية الإنتاج حتى استرداد كامل الاستثمار (غير مخصومة)</t>
  </si>
  <si>
    <t>فترة الاسترداد المخصومة</t>
  </si>
  <si>
    <t>بعد خصم التدفقات بمعدل الخصم</t>
  </si>
  <si>
    <t>مؤشر الربحية (PI)</t>
  </si>
  <si>
    <t>القيمة الحالية للتدفقات ÷ الاستثمار — أكبر من 1 = مجدٍ</t>
  </si>
  <si>
    <t>ثانياً: على الاستثمار الجديد فقط (باستبعاد المصاريف المدفوعة سابقاً)</t>
  </si>
  <si>
    <t>صافي القيمة الحالية</t>
  </si>
  <si>
    <t>المعيار الصحيح لقرار المضي في المشروع: المصاريف السابقة لا تُسترد سواء نُفّذ المشروع أم لا</t>
  </si>
  <si>
    <t>معدل العائد الداخلي</t>
  </si>
  <si>
    <t>ثالثاً: للمالك وللممول</t>
  </si>
  <si>
    <t>معدل العائد الداخلي على حقوق الملكية</t>
  </si>
  <si>
    <t>بعد سحب القرض وسداده</t>
  </si>
  <si>
    <t>أدنى معدل تغطية لخدمة الدين (DSCR)</t>
  </si>
  <si>
    <t>البنوك تشترط عادة 1.25 فأكثر</t>
  </si>
  <si>
    <t>أدنى رصيد نقدي تراكمي للمالك بعد سنة التأسيس</t>
  </si>
  <si>
    <t>رابعاً: الربحية</t>
  </si>
  <si>
    <t>متوسط صافي الربح السنوي</t>
  </si>
  <si>
    <t>متوسط العائد على إجمالي الاستثمار (ROI)</t>
  </si>
  <si>
    <t>متوسط هامش EBITDA</t>
  </si>
  <si>
    <t>للمقارنة: شركة تنمية معادن عُمان تستهدف هامشاً يفوق 20% من إنتاج الكروم</t>
  </si>
  <si>
    <t>متوسط تكلفة الطن المباع</t>
  </si>
  <si>
    <t>خامساً: نقطة التعادل — السنة الثالثة (الطاقة الكاملة)</t>
  </si>
  <si>
    <t>التكاليف الثابتة شاملة الإهلاك والإطفاء والفوائد</t>
  </si>
  <si>
    <t>التكلفة المتغيرة للطن (مواد مستهلكة)</t>
  </si>
  <si>
    <t>صافي سعر الطن بعد الإتاوة والمساهمة المجتمعية</t>
  </si>
  <si>
    <t>كلما انخفضت زاد هامش الأمان</t>
  </si>
  <si>
    <t>يُقارن بسعر البيع المعتمد وبمتوسط السعر الوطني المحقق 2025</t>
  </si>
  <si>
    <t>كمية التعادل</t>
  </si>
  <si>
    <t>هامش الأمان</t>
  </si>
  <si>
    <t>نسبة الانخفاض في المبيعات التي يتحملها المشروع قبل تحقيق خسارة</t>
  </si>
  <si>
    <t>يوضح أثر تغير أهم العوامل على صافي القيمة الحالية ومعدل العائد الداخلي. الجداول تُحتسب تلقائياً (جداول بيانات Excel) — لا تُعدَّل خلاياها</t>
  </si>
  <si>
    <t>عوامل الحساسية (تبقى 100% في الحالة الأساسية)</t>
  </si>
  <si>
    <t>معامل سعر البيع</t>
  </si>
  <si>
    <t>معامل الكمية المباعة</t>
  </si>
  <si>
    <t>معامل التكاليف التشغيلية</t>
  </si>
  <si>
    <t>معامل تكلفة الأصول الثابتة</t>
  </si>
  <si>
    <t>معامل الكمية يمثل تغير الخام القابل للبيع مع ثبات حجم الحفر (أي تغير نسبة التعرية أو الاسترداد أو الإنتاجية).</t>
  </si>
  <si>
    <t>1) حساسية سعر البيع</t>
  </si>
  <si>
    <t>معامل السعر</t>
  </si>
  <si>
    <t>صافي القيمة الحالية (ر.ع)</t>
  </si>
  <si>
    <t>العائد الداخلي على الاستثمار الجديد</t>
  </si>
  <si>
    <t>الحالة الأساسية</t>
  </si>
  <si>
    <t>2) حساسية الكمية المباعة</t>
  </si>
  <si>
    <t>معامل الكمية</t>
  </si>
  <si>
    <t>3) حساسية التكاليف التشغيلية</t>
  </si>
  <si>
    <t>معامل التكاليف</t>
  </si>
  <si>
    <t>4) حساسية تكلفة الأصول الثابتة</t>
  </si>
  <si>
    <t>معامل تكلفة الأصول</t>
  </si>
  <si>
    <t>5) صافي القيمة الحالية (ر.ع): سعر البيع × الكمية المباعة</t>
  </si>
  <si>
    <t>معامل السعر (عمودي)</t>
  </si>
  <si>
    <t>معامل الكمية المباعة (أفقي)</t>
  </si>
  <si>
    <t>قراءة النتائج</t>
  </si>
  <si>
    <t>• الخلايا الحمراء = صافي قيمة حالية سالب (المشروع غير مجدٍ عند ذلك السيناريو).</t>
  </si>
  <si>
    <t>• معامل سعر 80% يقارب متوسط السعر الوطني المحقق في 2025.</t>
  </si>
  <si>
    <t>• معامل كمية 70% يعادل تقريباً ارتفاع نسبة التعرية من 8 إلى 12 طن/طن.</t>
  </si>
  <si>
    <t>تحليل SWOT وسجل المخاطر</t>
  </si>
  <si>
    <t>يُحدَّث عند توفر نتائج التقرير الاستكشافي وعقد البيع</t>
  </si>
  <si>
    <t>أولاً: تحليل SWOT</t>
  </si>
  <si>
    <t>المحور</t>
  </si>
  <si>
    <t>نقاط القوة</t>
  </si>
  <si>
    <t>ترخيص تنقيب قائم وطريق مفتوح إلى الموقع (استثمار منفذ)؛ كادر عُماني بنسبة تعمين مرتفعة؛ تعدين ميكانيكي دون تفجير يبسّط التراخيص الأمنية؛ معدات رئيسية مملوكة.</t>
  </si>
  <si>
    <t>نقاط الضعف</t>
  </si>
  <si>
    <t>عدم توفر تقدير معتمد للاحتياطي والدرجة بعد؛ اعتماد على منتج واحد وسعر متقلب؛ طاقة إنتاجية صغيرة لا تحقق وفورات الحجم؛ معدات مستأجرة ترفع التكاليف الثابتة.</t>
  </si>
  <si>
    <t>الفرص</t>
  </si>
  <si>
    <t>توجه حكومي لرفع إنتاج الكروم إلى 400 ألف طن سنوياً بحلول 2030؛ تسويق موحّد عبر شركة متاجرة المعادن يحسّن القدرة التفاوضية؛ طلب محلي من مصانع المعالجة والفيروكروم (أولوية للسوق المحلي)؛ إمكانية رفع الدرجة بالمعالجة لتحقيق علاوة سعرية.</t>
  </si>
  <si>
    <t>التهديدات</t>
  </si>
  <si>
    <t>شرط 36% لتصدير الخام غير المعالج؛ تقلب أسعار الكروم عالمياً (مرتبطة بسوق الفولاذ المقاوم للصدأ في الصين)؛ طول إجراءات ترخيص التعدين؛ ارتفاع نسبة التعرية مع التعمق؛ تغيّر الرسوم والإتاوات.</t>
  </si>
  <si>
    <t>ثانياً: سجل المخاطر</t>
  </si>
  <si>
    <t>الخطر</t>
  </si>
  <si>
    <t>الاحتمال</t>
  </si>
  <si>
    <t>الأثر</t>
  </si>
  <si>
    <t>إجراءات التخفيف</t>
  </si>
  <si>
    <t>الاحتياطي أو الدرجة أقل من المفترض</t>
  </si>
  <si>
    <t>متوسط</t>
  </si>
  <si>
    <t>مرتفع جداً</t>
  </si>
  <si>
    <t>استكمال برنامج الحفر والعينات وتقرير احتياطي معتمد قبل شراء المعدات؛ البدء بمعدات مستأجرة ثم الشراء بعد تأكيد الخام.</t>
  </si>
  <si>
    <t>درجة الخام أقل من 36% (قيد التصدير)</t>
  </si>
  <si>
    <t>مرتفع</t>
  </si>
  <si>
    <t>التعاقد المسبق مع مشترٍ محلي أو مع شركة متاجرة المعادن؛ دراسة الفرز/الغسل لرفع الدرجة؛ الحصول على موافقة الوزارة لتصدير الخام المعالج.</t>
  </si>
  <si>
    <t>انخفاض سعر الكروم</t>
  </si>
  <si>
    <t>عقود بيع بسعر مرجعي معلن؛ الحفاظ على تكلفة الطن دون سعر التعادل بهامش كافٍ؛ تكوين احتياطي نقدي في السنوات الجيدة.</t>
  </si>
  <si>
    <t>ارتفاع نسبة التعرية أو صلابة الصخر</t>
  </si>
  <si>
    <t>خطة تعدين مرحلية تبدأ بالجيوب الأقرب للسطح؛ مراقبة شهرية لنسبة التعرية؛ دراسة بديل التفجير إذا انخفضت إنتاجية الكسارات.</t>
  </si>
  <si>
    <t>تأخر ترخيص التعدين أو التصريح البيئي</t>
  </si>
  <si>
    <t>تقديم ملف مكتمل، ومتابعة موافقات الجهات السبع بالتوازي؛ عدم الالتزام بمصاريف ثابتة (إيجارات، توظيف) قبل صدور الترخيص.</t>
  </si>
  <si>
    <t>أعطال المعدات وتوقف الإنتاج</t>
  </si>
  <si>
    <t>عقد صيانة وقطع غيار مع الوكيل؛ إمكانية استئجار بديل سريع؛ مشغل حفار احتياطي.</t>
  </si>
  <si>
    <t>حوادث العمل والسلامة</t>
  </si>
  <si>
    <t>منخفض</t>
  </si>
  <si>
    <t>مشرف أمن وسلامة متفرغ؛ تدريب ومعدات وقاية؛ تأمين إصابات العمل؛ ميول آمنة لجدران المحجر.</t>
  </si>
  <si>
    <t>الالتزامات البيئية والمجتمعية</t>
  </si>
  <si>
    <t>التقيد بالتصريح البيئي، مكافحة الغبار بالرش، إعادة تأهيل تدريجية، وتسديد مساهمة تنمية المجتمع المحلي.</t>
  </si>
  <si>
    <t>ضغط السيولة في السنة الأولى</t>
  </si>
  <si>
    <t>رأس مال عامل يغطي ثلاثة أشهر؛ فترة سماح للقرض إن أمكن؛ تحصيل سريع لقيمة الشحنات.</t>
  </si>
  <si>
    <t>ما تم تصحيحه، ما يحتاج تأكيداً، والمصادر</t>
  </si>
  <si>
    <t>مقارنة بين الملف الأصلي «دراسة جدوى مقلع كروم» وهذه النسخة المحدثة</t>
  </si>
  <si>
    <t>أولاً: التصحيحات على الدراسة الأصلية</t>
  </si>
  <si>
    <t>في الملف الأصلي</t>
  </si>
  <si>
    <t>في النسخة المحدثة</t>
  </si>
  <si>
    <t>السبب</t>
  </si>
  <si>
    <t>الروابط بين الأوراق</t>
  </si>
  <si>
    <t>روابط إلى ملف خارجي غير موجود (حاسوب آخر) تعطي صفراً</t>
  </si>
  <si>
    <t>ربط داخلي كامل بين جميع الأوراق</t>
  </si>
  <si>
    <t>رسوم التراخيص ورأس المال العامل كانت تظهر صفراً بسبب الروابط المكسورة.</t>
  </si>
  <si>
    <t>جدولان مختلفان: 276,220 و332,220</t>
  </si>
  <si>
    <t>جدول واحد: 229,392 + ضمانات 55,000 منفصلة</t>
  </si>
  <si>
    <t>توحيد الأرقام وربط رسوم التراخيص والمأذونيات بأوراقها.</t>
  </si>
  <si>
    <t>مصاريف الاستكشاف السابقة</t>
  </si>
  <si>
    <t>200,000 في ورقة و257,000 في أخرى</t>
  </si>
  <si>
    <t>200,000 (مدخل قابل للتعديل)</t>
  </si>
  <si>
    <t>يجب تأكيد الرقم الصحيح بالمستندات.</t>
  </si>
  <si>
    <t>الضمانات البنكية 55,000</t>
  </si>
  <si>
    <t>مصروف ضمن ما قبل التشغيل</t>
  </si>
  <si>
    <t>وديعة مستردة في نهاية المشروع + عمولة سنوية</t>
  </si>
  <si>
    <t>الضمان ليس مصروفاً بل نقد محتجز يُسترد بعد إعادة التأهيل.</t>
  </si>
  <si>
    <t>صفر</t>
  </si>
  <si>
    <t>3 أشهر من التكاليف النقدية</t>
  </si>
  <si>
    <t>لا يمكن تشغيل المشروع دون سيولة حتى تحصيل أولى المبيعات.</t>
  </si>
  <si>
    <t>التأمينات الاجتماعية للعُمانيين</t>
  </si>
  <si>
    <t>3,080 ر.ع سنوياً</t>
  </si>
  <si>
    <t>14.5% من الرواتب</t>
  </si>
  <si>
    <t>النسبة النظامية لاشتراك صاحب العمل في صندوق الحماية الاجتماعية.</t>
  </si>
  <si>
    <t>اشتراكات ونهاية خدمة الوافدين</t>
  </si>
  <si>
    <t>غير موجودة</t>
  </si>
  <si>
    <t>3% اشتراكات + 9% ادخار/نهاية خدمة</t>
  </si>
  <si>
    <t>التزامات قانون العمل وقانون الحماية الاجتماعية.</t>
  </si>
  <si>
    <t>راتب الحارس</t>
  </si>
  <si>
    <t>320 ر.ع</t>
  </si>
  <si>
    <t>325 ر.ع</t>
  </si>
  <si>
    <t>الحد الأدنى لأجور العُمانيين.</t>
  </si>
  <si>
    <t>مجموع عمود الراتب الشهري</t>
  </si>
  <si>
    <t>5,340 (مجموع رواتب الوحدة)</t>
  </si>
  <si>
    <t>حُذف</t>
  </si>
  <si>
    <t>رقم بلا معنى: يجمع راتب الوحدة دون ضرب العدد.</t>
  </si>
  <si>
    <t>إيجار الشيول والقلاب</t>
  </si>
  <si>
    <t>غير مدرج</t>
  </si>
  <si>
    <t>مضاف في ورقة الإيجارات</t>
  </si>
  <si>
    <t>الدراسة تتضمن مشغل شيول وسائق قلاب وتذكر استئجارهما في الجدول الزمني دون تكلفة.</t>
  </si>
  <si>
    <t>الحفارات</t>
  </si>
  <si>
    <t>حفار 350 في الجدول الزمني وهيتاشي 240 في الإيجارات</t>
  </si>
  <si>
    <t>حفاران 35 طناً مملوكان + هيتاشي 240 مستأجر</t>
  </si>
  <si>
    <t>توفيق بين قيمة المعدات المشتراة (215,000) وعدد مشغلي الحفارات (4) — يُؤكَّد.</t>
  </si>
  <si>
    <t>مأذونيات العمالة الوافدة</t>
  </si>
  <si>
    <t>3,420 في ورقة و2,420 في أخرى</t>
  </si>
  <si>
    <t>محتسبة من رسوم وزارة العمل</t>
  </si>
  <si>
    <t>حسب فئة المهنة (251 / 201 ر.ع) مع تجديد كل سنتين.</t>
  </si>
  <si>
    <t>المصاريف الإدارية والمنافع والتسويق</t>
  </si>
  <si>
    <t>قيم تقديرية</t>
  </si>
  <si>
    <t>لا يخلو مشروع من تدقيق حسابات واتصالات وكهرباء وتحاليل مخبرية.</t>
  </si>
  <si>
    <t>رقم مجمل 84,691 من ملف خارجي</t>
  </si>
  <si>
    <t>تفصيل بالمعدة والبند</t>
  </si>
  <si>
    <t>ليمكن التحقق منه وتعديله (وقود، زيوت، قطع استهلاك، إطارات...).</t>
  </si>
  <si>
    <t>الإتاوة والمساهمة المجتمعية والضريبة</t>
  </si>
  <si>
    <t>5% + 1% + 15%</t>
  </si>
  <si>
    <t>التزامات قانون الثروة المعدنية وقانون ضريبة الدخل.</t>
  </si>
  <si>
    <t>الإنتاج والإيرادات وقائمة الدخل والتدفقات والمؤشرات</t>
  </si>
  <si>
    <t>غير موجودة في الملف</t>
  </si>
  <si>
    <t>أُضيفت كاملة ومترابطة</t>
  </si>
  <si>
    <t>لا تكتمل دراسة الجدوى بدونها.</t>
  </si>
  <si>
    <t>بلا تواريخ، والتوظيف والشراء قبل الترخيص</t>
  </si>
  <si>
    <t>تسلسل: دراسات وتراخيص ← تمويل وتجهيز ← تأهيل ← إنتاج</t>
  </si>
  <si>
    <t>لتفادي الالتزام بمصاريف ثابتة قبل صدور ترخيص التعدين.</t>
  </si>
  <si>
    <t>أخطاء إملائية وتسميات</t>
  </si>
  <si>
    <t>«عمال صقل أحجار»، «الطاقة والعادن»، «هيئة البية»...</t>
  </si>
  <si>
    <t>صُححت</t>
  </si>
  <si>
    <t>ثانياً: بنود يجب تأكيدها قبل اعتماد الدراسة (مرتبة حسب الأثر)</t>
  </si>
  <si>
    <t>القيمة المفترضة</t>
  </si>
  <si>
    <t>مصدر التأكيد</t>
  </si>
  <si>
    <t>الاحتياطي ودرجة الخام</t>
  </si>
  <si>
    <t>140,000 طن بدرجة 32%</t>
  </si>
  <si>
    <t>التقرير الاستكشافي ونتائج المختبر</t>
  </si>
  <si>
    <t>أهم مدخل في الدراسة — يحدد عمر المحجر وسعر البيع وإمكانية التصدير.</t>
  </si>
  <si>
    <t>نسبة التعرية وإنتاجية التكسير</t>
  </si>
  <si>
    <t>8 طن/طن و35 طن/ساعة</t>
  </si>
  <si>
    <t>خطة التعدين وتجربة الموقع</t>
  </si>
  <si>
    <t>تحددان الطاقة الإنتاجية (11,900 طن/سنة في الحالة الأساسية).</t>
  </si>
  <si>
    <t>سعر البيع والمشتري</t>
  </si>
  <si>
    <t>محتسب بصافي العائد</t>
  </si>
  <si>
    <t>عقد أو عرض شراء (شركة متاجرة المعادن / مشترٍ محلي)</t>
  </si>
  <si>
    <t>يُستبدل الاحتساب بالسعر التعاقدي الفعلي عند توفره.</t>
  </si>
  <si>
    <t>نسبة الإتاوة والإيجار السنوي للترخيص</t>
  </si>
  <si>
    <t>5% + رسوم سنوية 1,600</t>
  </si>
  <si>
    <t>القانون يحدد حداً أدنى؛ النسبة الفعلية تُحدد في الترخيص.</t>
  </si>
  <si>
    <t>أسعار المعدات المشتراة</t>
  </si>
  <si>
    <t>215,000 ر.ع</t>
  </si>
  <si>
    <t>عروض أسعار من الوكلاء</t>
  </si>
  <si>
    <t>الإجمالي من الملف الأصلي والتفصيل افتراضي.</t>
  </si>
  <si>
    <t>2,080 و1,000 ر.ع شهرياً</t>
  </si>
  <si>
    <t>عروض شركات التأجير</t>
  </si>
  <si>
    <t>200,000 ر.ع</t>
  </si>
  <si>
    <t>المستندات المحاسبية</t>
  </si>
  <si>
    <t>الملف الأصلي يذكر أيضاً 257,000.</t>
  </si>
  <si>
    <t>شروط التمويل</t>
  </si>
  <si>
    <t>150,000 بفائدة 6% لمدة 5 سنوات</t>
  </si>
  <si>
    <t>رسوم التراخيص الحالية</t>
  </si>
  <si>
    <t>8,400 ر.ع</t>
  </si>
  <si>
    <t>جداول الرسوم السارية</t>
  </si>
  <si>
    <t>من الملف الأصلي.</t>
  </si>
  <si>
    <t>اشتراكات الحماية الاجتماعية للوافدين</t>
  </si>
  <si>
    <t>3% + 9%</t>
  </si>
  <si>
    <t>صندوق الحماية الاجتماعية</t>
  </si>
  <si>
    <t>التطبيق مرحلي — يُتحقق من النسب السارية وقت التشغيل.</t>
  </si>
  <si>
    <t>ثالثاً: المصادر</t>
  </si>
  <si>
    <t>المصدر</t>
  </si>
  <si>
    <t>الرابط</t>
  </si>
  <si>
    <t>أسعار خام الكروم (CIF الصين)</t>
  </si>
  <si>
    <t>Shanghai Metals Market (SMM)</t>
  </si>
  <si>
    <t>https://www-old.metal.com/price/Minor-Metals/Chromium</t>
  </si>
  <si>
    <t>إنتاج ومبيعات الكروم في السلطنة 2025</t>
  </si>
  <si>
    <t>Times of Oman</t>
  </si>
  <si>
    <t>https://timesofoman.com/article/168275-production-of-chromium-ore-in-oman-exceeded-353000-tonnes-in-2025</t>
  </si>
  <si>
    <t>تنظيم تصدير خامي الجبس والكروم</t>
  </si>
  <si>
    <t>قرار وزاري 18/2025 — وزارة الطاقة والمعادن</t>
  </si>
  <si>
    <t>https://qanoon.om/p/2025/mem20250018/</t>
  </si>
  <si>
    <t>مستهدف 400 ألف طن وشرط 36%</t>
  </si>
  <si>
    <t>Oman Observer</t>
  </si>
  <si>
    <t>https://www.omanobserver.om/article/1186906/business/economy/oman-targets-400000-ty-chromite-output-by-2030</t>
  </si>
  <si>
    <t>مرسوم سلطاني 19/2019</t>
  </si>
  <si>
    <t>https://qanoon.om/p/2019/rd2019019/</t>
  </si>
  <si>
    <t>اشتراكات صندوق الحماية الاجتماعية</t>
  </si>
  <si>
    <t>Middle East Briefing / Lockton</t>
  </si>
  <si>
    <t>https://www.middleeastbriefing.com/news/omans-spf-social-security-employer-registration-and-contributions/</t>
  </si>
  <si>
    <t>رسوم مأذونيات العمل</t>
  </si>
  <si>
    <t>Oman Observer — قرار وزارة العمل 602/2025</t>
  </si>
  <si>
    <t>https://www.omanobserver.om/article/1178709/oman/labour/mol-issues-decision-on-work-permits-work-practice-permits</t>
  </si>
  <si>
    <t>PwC Worldwide Tax Summaries — Oman</t>
  </si>
  <si>
    <t>https://taxsummaries.pwc.com/oman/corporate/taxes-on-corporate-income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</si>
</sst>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200" formatCode="yyyy/mm"/>
    <numFmt numFmtId="164" formatCode="#,##0;\(#,##0\);&quot;-&quot;"/>
    <numFmt numFmtId="165" formatCode="0.0%;\(0.0%\);&quot;-&quot;"/>
    <numFmt numFmtId="166" formatCode="#,##0.00;\(#,##0.00\);&quot;-&quot;"/>
    <numFmt numFmtId="167" formatCode="0.0&quot; سنة&quot;"/>
    <numFmt numFmtId="168" formatCode="yyyy/mm/dd"/>
    <numFmt numFmtId="169" formatCode="#,##0.000;\(#,##0.000\);&quot;-&quot;"/>
    <numFmt numFmtId="170" formatCode="#,##0.0;\(#,##0.0\);&quot;-&quot;"/>
    <numFmt numFmtId="171" formatCode="0.00&quot;x&quot;"/>
    <numFmt numFmtId="172" formatCode="&quot;سنة التأسيس&quot;"/>
    <numFmt numFmtId="173" formatCode="&quot;السنة &quot;0"/>
  </numFmts>
  <fonts count="10" x14ac:knownFonts="1">
    <font>
      <sz val="10"/>
      <color theme="1"/>
      <name val="Arial"/>
      <family val="2"/>
    </font>
    <font>
      <b/>
      <sz val="10"/>
      <color theme="1"/>
      <name val="Arial"/>
      <family val="2"/>
    </font>
    <font>
      <b/>
      <sz val="16"/>
      <color rgb="FF1F3864"/>
      <name val="Arial"/>
      <family val="2"/>
    </font>
    <font>
      <b/>
      <sz val="12"/>
      <color rgb="FF2F5496"/>
      <name val="Arial"/>
      <family val="2"/>
    </font>
    <font>
      <i/>
      <sz val="9"/>
      <color rgb="FF595959"/>
      <name val="Arial"/>
      <family val="2"/>
    </font>
    <font>
      <b/>
      <sz val="10"/>
      <color rgb="FFFFFFFF"/>
      <name val="Arial"/>
      <family val="2"/>
    </font>
    <font>
      <u/>
      <sz val="10"/>
      <color theme="10"/>
      <name val="Arial"/>
      <family val="2"/>
    </font>
    <font>
      <sz val="10"/>
      <color rgb="FF0000FF"/>
      <name val="Arial"/>
      <family val="2"/>
    </font>
    <font>
      <b/>
      <sz val="10"/>
      <color rgb="FFC00000"/>
      <name val="Arial"/>
      <family val="2"/>
    </font>
    <font>
      <b/>
      <sz val="10"/>
      <color rgb="FF1F3864"/>
      <name val="Arial"/>
      <family val="2"/>
    </font>
  </fonts>
  <fills count="7">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E7E6E6"/>
        <bgColor indexed="64"/>
      </patternFill>
    </fill>
    <fill>
      <patternFill patternType="solid">
        <fgColor rgb="FFE2EFDA"/>
        <bgColor indexed="64"/>
      </patternFill>
    </fill>
    <fill>
      <patternFill patternType="solid">
        <fgColor rgb="FFD9E2F3"/>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6" fillId="0" borderId="0" applyNumberFormat="0" applyFill="0" applyBorder="0" applyAlignment="0" applyProtection="0"/>
  </cellStyleXfs>
  <cellXfs count="52">
    <xf numFmtId="0" fontId="0" fillId="0" borderId="0" xfId="0"/>
    <xf numFmtId="0" fontId="0" fillId="0" borderId="0" xfId="0" applyFont="1" applyAlignment="1">
      <alignment vertical="center" readingOrder="2"/>
    </xf>
    <xf numFmtId="0" fontId="0" fillId="0" borderId="0" xfId="0" applyFont="1" applyAlignment="1">
      <alignment horizontal="right" vertical="center" readingOrder="2"/>
    </xf>
    <xf numFmtId="0" fontId="2" fillId="0" borderId="0" xfId="0" applyFont="1" applyAlignment="1">
      <alignment horizontal="right" vertical="center" readingOrder="2"/>
    </xf>
    <xf numFmtId="0" fontId="3" fillId="0" borderId="0" xfId="0" applyFont="1" applyAlignment="1">
      <alignment horizontal="right" vertical="center" readingOrder="2"/>
    </xf>
    <xf numFmtId="0" fontId="4" fillId="0" borderId="0" xfId="0" applyFont="1" applyAlignment="1">
      <alignment horizontal="right" vertical="center" readingOrder="2"/>
    </xf>
    <xf numFmtId="0" fontId="5" fillId="2" borderId="1" xfId="0" applyFont="1" applyFill="1" applyBorder="1" applyAlignment="1">
      <alignment horizontal="center" vertical="center" wrapText="1" readingOrder="2"/>
    </xf>
    <xf numFmtId="0" fontId="0" fillId="0" borderId="1" xfId="0" applyFont="1" applyFill="1" applyBorder="1" applyAlignment="1">
      <alignment horizontal="center" vertical="center" wrapText="1" readingOrder="2"/>
    </xf>
    <xf numFmtId="0" fontId="6" fillId="0" borderId="1" xfId="1" applyFont="1" applyFill="1" applyBorder="1" applyAlignment="1">
      <alignment vertical="center" readingOrder="2"/>
    </xf>
    <xf numFmtId="0" fontId="0" fillId="0" borderId="1" xfId="0" applyFont="1" applyFill="1" applyBorder="1" applyAlignment="1">
      <alignment horizontal="right" vertical="center" wrapText="1" readingOrder="2"/>
    </xf>
    <xf numFmtId="164" fontId="7" fillId="3" borderId="1" xfId="0" applyNumberFormat="1" applyFont="1" applyFill="1" applyBorder="1" applyAlignment="1">
      <alignment vertical="center" readingOrder="2"/>
    </xf>
    <xf numFmtId="164" fontId="0" fillId="0" borderId="1" xfId="0" applyNumberFormat="1" applyFont="1" applyFill="1" applyBorder="1" applyAlignment="1">
      <alignment vertical="center" readingOrder="2"/>
    </xf>
    <xf numFmtId="164" fontId="1" fillId="4" borderId="1" xfId="0" applyNumberFormat="1" applyFont="1" applyFill="1" applyBorder="1" applyAlignment="1">
      <alignment vertical="center" readingOrder="2"/>
    </xf>
    <xf numFmtId="164" fontId="1" fillId="5" borderId="1" xfId="0" applyNumberFormat="1" applyFont="1" applyFill="1" applyBorder="1" applyAlignment="1">
      <alignment vertical="center" readingOrder="2"/>
    </xf>
    <xf numFmtId="0" fontId="8" fillId="0" borderId="1" xfId="0" applyFont="1" applyFill="1" applyBorder="1" applyAlignment="1">
      <alignment horizontal="right" vertical="center" wrapText="1" readingOrder="2"/>
    </xf>
    <xf numFmtId="0" fontId="9" fillId="6" borderId="1" xfId="0" applyFont="1" applyFill="1" applyBorder="1" applyAlignment="1">
      <alignment horizontal="right" vertical="center" readingOrder="2"/>
    </xf>
    <xf numFmtId="0" fontId="4" fillId="0" borderId="1" xfId="0" applyFont="1" applyFill="1" applyBorder="1" applyAlignment="1">
      <alignment horizontal="right" vertical="center" wrapText="1" readingOrder="2"/>
    </xf>
    <xf numFmtId="165" fontId="0" fillId="0" borderId="1" xfId="0" applyNumberFormat="1" applyFont="1" applyFill="1" applyBorder="1" applyAlignment="1">
      <alignment vertical="center" readingOrder="2"/>
    </xf>
    <xf numFmtId="166" fontId="0" fillId="0" borderId="1" xfId="0" applyNumberFormat="1" applyFont="1" applyFill="1" applyBorder="1" applyAlignment="1">
      <alignment vertical="center" readingOrder="2"/>
    </xf>
    <xf numFmtId="165" fontId="1" fillId="5" borderId="1" xfId="0" applyNumberFormat="1" applyFont="1" applyFill="1" applyBorder="1" applyAlignment="1">
      <alignment vertical="center" readingOrder="2"/>
    </xf>
    <xf numFmtId="167" fontId="1" fillId="5" borderId="1" xfId="0" applyNumberFormat="1" applyFont="1" applyFill="1" applyBorder="1" applyAlignment="1">
      <alignment vertical="center" readingOrder="2"/>
    </xf>
    <xf numFmtId="0" fontId="1" fillId="5" borderId="0" xfId="0" applyFont="1" applyFill="1" applyAlignment="1">
      <alignment horizontal="right" vertical="center" readingOrder="2"/>
    </xf>
    <xf numFmtId="0" fontId="1" fillId="5" borderId="1" xfId="0" applyFont="1" applyFill="1" applyBorder="1" applyAlignment="1">
      <alignment vertical="center" readingOrder="2"/>
    </xf>
    <xf numFmtId="0" fontId="7" fillId="3" borderId="1" xfId="0" applyFont="1" applyFill="1" applyBorder="1" applyAlignment="1">
      <alignment horizontal="right" vertical="center" wrapText="1" readingOrder="2"/>
    </xf>
    <xf numFmtId="168" fontId="7" fillId="3" borderId="1" xfId="0" applyNumberFormat="1" applyFont="1" applyFill="1" applyBorder="1" applyAlignment="1">
      <alignment horizontal="center" vertical="center" readingOrder="2"/>
    </xf>
    <xf numFmtId="169" fontId="7" fillId="3" borderId="1" xfId="0" applyNumberFormat="1" applyFont="1" applyFill="1" applyBorder="1" applyAlignment="1">
      <alignment vertical="center" readingOrder="2"/>
    </xf>
    <xf numFmtId="165" fontId="7" fillId="3" borderId="1" xfId="0" applyNumberFormat="1" applyFont="1" applyFill="1" applyBorder="1" applyAlignment="1">
      <alignment vertical="center" readingOrder="2"/>
    </xf>
    <xf numFmtId="170" fontId="7" fillId="3" borderId="1" xfId="0" applyNumberFormat="1" applyFont="1" applyFill="1" applyBorder="1" applyAlignment="1">
      <alignment vertical="center" readingOrder="2"/>
    </xf>
    <xf numFmtId="166" fontId="7" fillId="3" borderId="1" xfId="0" applyNumberFormat="1" applyFont="1" applyFill="1" applyBorder="1" applyAlignment="1">
      <alignment vertical="center" readingOrder="2"/>
    </xf>
    <xf numFmtId="0" fontId="1" fillId="4" borderId="1" xfId="0" applyFont="1" applyFill="1" applyBorder="1" applyAlignment="1">
      <alignment vertical="center" readingOrder="2"/>
    </xf>
    <xf numFmtId="166" fontId="1" fillId="5" borderId="1" xfId="0" applyNumberFormat="1" applyFont="1" applyFill="1" applyBorder="1" applyAlignment="1">
      <alignment vertical="center" readingOrder="2"/>
    </xf>
    <xf numFmtId="170" fontId="0" fillId="0" borderId="1" xfId="0" applyNumberFormat="1" applyFont="1" applyFill="1" applyBorder="1" applyAlignment="1">
      <alignment vertical="center" readingOrder="2"/>
    </xf>
    <xf numFmtId="0" fontId="1" fillId="0" borderId="1" xfId="0" applyFont="1" applyFill="1" applyBorder="1" applyAlignment="1">
      <alignment horizontal="right" vertical="center" wrapText="1" readingOrder="2"/>
    </xf>
    <xf numFmtId="166" fontId="1" fillId="4" borderId="1" xfId="0" applyNumberFormat="1" applyFont="1" applyFill="1" applyBorder="1" applyAlignment="1">
      <alignment vertical="center" readingOrder="2"/>
    </xf>
    <xf numFmtId="171" fontId="0" fillId="0" borderId="1" xfId="0" applyNumberFormat="1" applyFont="1" applyFill="1" applyBorder="1" applyAlignment="1">
      <alignment vertical="center" readingOrder="2"/>
    </xf>
    <xf numFmtId="0" fontId="1" fillId="0" borderId="1" xfId="0" applyFont="1" applyFill="1" applyBorder="1" applyAlignment="1">
      <alignment horizontal="center" vertical="center" wrapText="1" readingOrder="2"/>
    </xf>
    <xf numFmtId="172" fontId="5" fillId="2" borderId="1" xfId="0" applyNumberFormat="1" applyFont="1" applyFill="1" applyBorder="1" applyAlignment="1">
      <alignment horizontal="center" vertical="center" wrapText="1" readingOrder="2"/>
    </xf>
    <xf numFmtId="173" fontId="5" fillId="2" borderId="1" xfId="0" applyNumberFormat="1" applyFont="1" applyFill="1" applyBorder="1" applyAlignment="1">
      <alignment horizontal="center" vertical="center" wrapText="1" readingOrder="2"/>
    </xf>
    <xf numFmtId="9" fontId="7" fillId="3" borderId="1" xfId="0" applyNumberFormat="1" applyFont="1" applyFill="1" applyBorder="1" applyAlignment="1">
      <alignment vertical="center" readingOrder="2"/>
    </xf>
    <xf numFmtId="1" fontId="5" fillId="2" borderId="1" xfId="0" applyNumberFormat="1" applyFont="1" applyFill="1" applyBorder="1" applyAlignment="1">
      <alignment horizontal="center" vertical="center" wrapText="1" readingOrder="2"/>
    </xf>
    <xf numFmtId="168" fontId="9" fillId="6" borderId="1" xfId="0" applyNumberFormat="1" applyFont="1" applyFill="1" applyBorder="1" applyAlignment="1">
      <alignment horizontal="right" vertical="center" readingOrder="2"/>
    </xf>
    <xf numFmtId="168" fontId="0" fillId="0" borderId="1" xfId="0" applyNumberFormat="1" applyFont="1" applyBorder="1" applyAlignment="1">
      <alignment horizontal="center" vertical="center" readingOrder="2"/>
    </xf>
    <xf numFmtId="0" fontId="9" fillId="6" borderId="1" xfId="0" applyFont="1" applyFill="1" applyBorder="1" applyAlignment="1">
      <alignment horizontal="right" vertical="center" wrapText="1" readingOrder="2"/>
    </xf>
    <xf numFmtId="0" fontId="0" fillId="0" borderId="1" xfId="0" applyFont="1" applyBorder="1" applyAlignment="1">
      <alignment horizontal="right" vertical="center" wrapText="1" readingOrder="2"/>
    </xf>
    <xf numFmtId="169" fontId="0" fillId="0" borderId="1" xfId="0" applyNumberFormat="1" applyFont="1" applyFill="1" applyBorder="1" applyAlignment="1">
      <alignment vertical="center" readingOrder="2"/>
    </xf>
    <xf numFmtId="9" fontId="0" fillId="0" borderId="1" xfId="0" applyNumberFormat="1" applyFont="1" applyFill="1" applyBorder="1" applyAlignment="1">
      <alignment vertical="center" readingOrder="2"/>
    </xf>
    <xf numFmtId="165" fontId="1" fillId="4" borderId="1" xfId="0" applyNumberFormat="1" applyFont="1" applyFill="1" applyBorder="1" applyAlignment="1">
      <alignment vertical="center" readingOrder="2"/>
    </xf>
    <xf numFmtId="164" fontId="1" fillId="0" borderId="1" xfId="0" applyNumberFormat="1" applyFont="1" applyFill="1" applyBorder="1" applyAlignment="1">
      <alignment vertical="center" readingOrder="2"/>
    </xf>
    <xf numFmtId="2" fontId="0" fillId="0" borderId="1" xfId="0" applyNumberFormat="1" applyFont="1" applyFill="1" applyBorder="1" applyAlignment="1">
      <alignment vertical="center" readingOrder="2"/>
    </xf>
    <xf numFmtId="167" fontId="0" fillId="0" borderId="1" xfId="0" applyNumberFormat="1" applyFont="1" applyFill="1" applyBorder="1" applyAlignment="1">
      <alignment vertical="center" readingOrder="2"/>
    </xf>
    <xf numFmtId="9" fontId="1" fillId="0" borderId="1" xfId="0" applyNumberFormat="1" applyFont="1" applyFill="1" applyBorder="1" applyAlignment="1">
      <alignment horizontal="center" vertical="center" readingOrder="2"/>
    </xf>
    <xf numFmtId="200" fontId="0" fillId="0" borderId="1" xfId="0" applyNumberFormat="1" applyFont="1" applyBorder="1" applyAlignment="1">
      <alignment horizontal="center" vertical="center" readingOrder="2"/>
    </xf>
  </cellXfs>
  <cellStyles count="2">
    <cellStyle name="Hyperlink" xfId="1" builtinId="8"/>
    <cellStyle name="Normal" xfId="0" builtinId="0" customBuiltin="1"/>
  </cellStyles>
  <dxfs count="9">
    <dxf>
      <fill>
        <patternFill>
          <bgColor rgb="FFE2EFDA"/>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8CBAD"/>
        </patternFill>
      </fill>
    </dxf>
    <dxf>
      <font>
        <color rgb="FFC00000"/>
      </font>
      <fill>
        <patternFill>
          <bgColor rgb="FFFCE4D6"/>
        </patternFill>
      </fill>
    </dxf>
    <dxf>
      <font>
        <color rgb="FFC00000"/>
      </font>
      <fill>
        <patternFill>
          <bgColor rgb="FFFCE4D6"/>
        </patternFill>
      </fill>
    </dxf>
    <dxf>
      <fill>
        <patternFill>
          <bgColor rgb="FF2F75B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6" Type="http://schemas.openxmlformats.org/officeDocument/2006/relationships/worksheet" Target="worksheets/sheet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OM"/>
              <a:t>الإيرادات والتكاليف وصافي الربح (ر.ع)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'قائمة الدخل'!$A$5</c:f>
              <c:strCache>
                <c:ptCount val="1"/>
                <c:pt idx="0">
                  <c:v>الإيرادات</c:v>
                </c:pt>
              </c:strCache>
            </c:strRef>
          </c:tx>
          <c:spPr>
            <a:solidFill>
              <a:schemeClr val="accent1"/>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الدخل'!$D$5:$M$5</c:f>
              <c:numCache>
                <c:formatCode>#,##0;\(#,##0\);"-"</c:formatCode>
                <c:ptCount val="10"/>
                <c:pt idx="0">
                  <c:v>393749.3619612903</c:v>
                </c:pt>
                <c:pt idx="1">
                  <c:v>506249.17966451612</c:v>
                </c:pt>
                <c:pt idx="2">
                  <c:v>562499.08851612906</c:v>
                </c:pt>
                <c:pt idx="3">
                  <c:v>562499.08851612906</c:v>
                </c:pt>
                <c:pt idx="4">
                  <c:v>562499.08851612906</c:v>
                </c:pt>
                <c:pt idx="5">
                  <c:v>562499.08851612906</c:v>
                </c:pt>
                <c:pt idx="6">
                  <c:v>562499.08851612906</c:v>
                </c:pt>
                <c:pt idx="7">
                  <c:v>562499.08851612906</c:v>
                </c:pt>
                <c:pt idx="8">
                  <c:v>562499.08851612906</c:v>
                </c:pt>
                <c:pt idx="9">
                  <c:v>562499.08851612906</c:v>
                </c:pt>
              </c:numCache>
            </c:numRef>
          </c:val>
          <c:extLst>
            <c:ext xmlns:c16="http://schemas.microsoft.com/office/drawing/2014/chart" uri="{C3380CC4-5D6E-409C-BE32-E72D297353CC}">
              <c16:uniqueId val="{00000001-DAA2-42E9-8F93-721C79F7C266}"/>
            </c:ext>
          </c:extLst>
        </c:ser>
        <c:ser>
          <c:idx val="1"/>
          <c:order val="1"/>
          <c:tx>
            <c:strRef>
              <c:f>'قائمة الدخل'!$A$9</c:f>
              <c:strCache>
                <c:ptCount val="1"/>
                <c:pt idx="0">
                  <c:v>إجمالي التكاليف التشغيلية</c:v>
                </c:pt>
              </c:strCache>
            </c:strRef>
          </c:tx>
          <c:spPr>
            <a:solidFill>
              <a:schemeClr val="accent2"/>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الدخل'!$D$9:$M$9</c:f>
              <c:numCache>
                <c:formatCode>#,##0;\(#,##0\);"-"</c:formatCode>
                <c:ptCount val="10"/>
                <c:pt idx="0">
                  <c:v>290561.17011767742</c:v>
                </c:pt>
                <c:pt idx="1">
                  <c:v>313974.51594187092</c:v>
                </c:pt>
                <c:pt idx="2">
                  <c:v>330710.18624566763</c:v>
                </c:pt>
                <c:pt idx="3">
                  <c:v>336847.57687218813</c:v>
                </c:pt>
                <c:pt idx="4">
                  <c:v>344045.29134560644</c:v>
                </c:pt>
                <c:pt idx="5">
                  <c:v>345886.29153612594</c:v>
                </c:pt>
                <c:pt idx="6">
                  <c:v>357921.39276445663</c:v>
                </c:pt>
                <c:pt idx="7">
                  <c:v>359970.53447625885</c:v>
                </c:pt>
                <c:pt idx="8">
                  <c:v>367515.09331373824</c:v>
                </c:pt>
                <c:pt idx="9">
                  <c:v>369708.14053377975</c:v>
                </c:pt>
              </c:numCache>
            </c:numRef>
          </c:val>
          <c:extLst>
            <c:ext xmlns:c16="http://schemas.microsoft.com/office/drawing/2014/chart" uri="{C3380CC4-5D6E-409C-BE32-E72D297353CC}">
              <c16:uniqueId val="{00000002-DAA2-42E9-8F93-721C79F7C266}"/>
            </c:ext>
          </c:extLst>
        </c:ser>
        <c:ser>
          <c:idx val="2"/>
          <c:order val="2"/>
          <c:tx>
            <c:strRef>
              <c:f>'قائمة الدخل'!$A$20</c:f>
              <c:strCache>
                <c:ptCount val="1"/>
                <c:pt idx="0">
                  <c:v>صافي الربح بعد الضريبة</c:v>
                </c:pt>
              </c:strCache>
            </c:strRef>
          </c:tx>
          <c:spPr>
            <a:solidFill>
              <a:schemeClr val="accent3"/>
            </a:solidFill>
            <a:ln>
              <a:noFill/>
            </a:ln>
            <a:effectLst/>
          </c:spPr>
          <c:invertIfNegative val="0"/>
          <c:cat>
            <c:numRef>
              <c:f>'قائمة الدخل'!$D$4:$M$4</c:f>
              <c:numCache>
                <c:formatCode>"السنة "0</c:formatCode>
                <c:ptCount val="10"/>
                <c:pt idx="0">
                  <c:v>1</c:v>
                </c:pt>
                <c:pt idx="1">
                  <c:v>2</c:v>
                </c:pt>
                <c:pt idx="2">
                  <c:v>3</c:v>
                </c:pt>
                <c:pt idx="3">
                  <c:v>4</c:v>
                </c:pt>
                <c:pt idx="4">
                  <c:v>5</c:v>
                </c:pt>
                <c:pt idx="5">
                  <c:v>6</c:v>
                </c:pt>
                <c:pt idx="6">
                  <c:v>7</c:v>
                </c:pt>
                <c:pt idx="7">
                  <c:v>8</c:v>
                </c:pt>
                <c:pt idx="8">
                  <c:v>9</c:v>
                </c:pt>
                <c:pt idx="9">
                  <c:v>10</c:v>
                </c:pt>
              </c:numCache>
            </c:numRef>
          </c:cat>
          <c:val>
            <c:numRef>
              <c:f>'قائمة الدخل'!$D$20:$M$20</c:f>
              <c:numCache>
                <c:formatCode>#,##0;\(#,##0\);"-"</c:formatCode>
                <c:ptCount val="10"/>
                <c:pt idx="0">
                  <c:v>42839.143067070945</c:v>
                </c:pt>
                <c:pt idx="1">
                  <c:v>119919.72662754702</c:v>
                </c:pt>
                <c:pt idx="2">
                  <c:v>154945.3368042873</c:v>
                </c:pt>
                <c:pt idx="3">
                  <c:v>151253.3726275072</c:v>
                </c:pt>
                <c:pt idx="4">
                  <c:v>146751.62225220969</c:v>
                </c:pt>
                <c:pt idx="5">
                  <c:v>146900.05743300266</c:v>
                </c:pt>
                <c:pt idx="6">
                  <c:v>136670.22138892155</c:v>
                </c:pt>
                <c:pt idx="7">
                  <c:v>134928.45093388966</c:v>
                </c:pt>
                <c:pt idx="8">
                  <c:v>128515.57592203219</c:v>
                </c:pt>
                <c:pt idx="9">
                  <c:v>126651.48578499691</c:v>
                </c:pt>
              </c:numCache>
            </c:numRef>
          </c:val>
          <c:extLst>
            <c:ext xmlns:c16="http://schemas.microsoft.com/office/drawing/2014/chart" uri="{C3380CC4-5D6E-409C-BE32-E72D297353CC}">
              <c16:uniqueId val="{00000003-DAA2-42E9-8F93-721C79F7C266}"/>
            </c:ext>
          </c:extLst>
        </c:ser>
        <c:dLbls>
          <c:showLegendKey val="0"/>
          <c:showVal val="0"/>
          <c:showCatName val="0"/>
          <c:showSerName val="0"/>
          <c:showPercent val="0"/>
          <c:showBubbleSize val="0"/>
        </c:dLbls>
        <c:gapWidth val="219"/>
        <c:overlap val="-27"/>
        <c:axId val="1295891567"/>
        <c:axId val="1295873327"/>
      </c:barChart>
      <c:catAx>
        <c:axId val="1295891567"/>
        <c:scaling>
          <c:orientation val="minMax"/>
        </c:scaling>
        <c:delete val="0"/>
        <c:axPos val="b"/>
        <c:numFmt formatCode="&quot;السنة &quot;0"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73327"/>
        <c:crosses val="autoZero"/>
        <c:auto val="1"/>
        <c:lblAlgn val="ctr"/>
        <c:lblOffset val="100"/>
        <c:noMultiLvlLbl val="0"/>
      </c:catAx>
      <c:valAx>
        <c:axId val="1295873327"/>
        <c:scaling>
          <c:orientation val="minMax"/>
        </c:scaling>
        <c:delete val="0"/>
        <c:axPos val="l"/>
        <c:majorGridlines>
          <c:spPr>
            <a:ln w="9525" cap="flat" cmpd="sng" algn="ctr">
              <a:solidFill>
                <a:schemeClr val="tx1">
                  <a:lumMod val="15000"/>
                  <a:lumOff val="85000"/>
                </a:schemeClr>
              </a:solidFill>
              <a:round/>
            </a:ln>
            <a:effectLst/>
          </c:spPr>
        </c:majorGridlines>
        <c:numFmt formatCode="#,##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156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ar-OM"/>
              <a:t>التدفق النقدي التراكمي للمشروع (ر.ع)</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'التدفقات النقدية'!$A$15</c:f>
              <c:strCache>
                <c:ptCount val="1"/>
                <c:pt idx="0">
                  <c:v>التدفق النقدي التراكمي</c:v>
                </c:pt>
              </c:strCache>
            </c:strRef>
          </c:tx>
          <c:spPr>
            <a:solidFill>
              <a:schemeClr val="accent1"/>
            </a:solidFill>
            <a:ln>
              <a:noFill/>
            </a:ln>
            <a:effectLst/>
          </c:spPr>
          <c:invertIfNegative val="0"/>
          <c:cat>
            <c:numRef>
              <c:f>'التدفقات النقدية'!$C$4:$M$4</c:f>
              <c:numCache>
                <c:formatCode>"السنة "0</c:formatCode>
                <c:ptCount val="11"/>
                <c:pt idx="0" formatCode="&quot;سنة التأسيس&quot;">
                  <c:v>0</c:v>
                </c:pt>
                <c:pt idx="1">
                  <c:v>1</c:v>
                </c:pt>
                <c:pt idx="2">
                  <c:v>2</c:v>
                </c:pt>
                <c:pt idx="3">
                  <c:v>3</c:v>
                </c:pt>
                <c:pt idx="4">
                  <c:v>4</c:v>
                </c:pt>
                <c:pt idx="5">
                  <c:v>5</c:v>
                </c:pt>
                <c:pt idx="6">
                  <c:v>6</c:v>
                </c:pt>
                <c:pt idx="7">
                  <c:v>7</c:v>
                </c:pt>
                <c:pt idx="8">
                  <c:v>8</c:v>
                </c:pt>
                <c:pt idx="9">
                  <c:v>9</c:v>
                </c:pt>
                <c:pt idx="10">
                  <c:v>10</c:v>
                </c:pt>
              </c:numCache>
            </c:numRef>
          </c:cat>
          <c:val>
            <c:numRef>
              <c:f>'التدفقات النقدية'!$C$15:$M$15</c:f>
              <c:numCache>
                <c:formatCode>#,##0;\(#,##0\);"-"</c:formatCode>
                <c:ptCount val="11"/>
                <c:pt idx="0">
                  <c:v>-579532.2925294193</c:v>
                </c:pt>
                <c:pt idx="1">
                  <c:v>-483903.94946234836</c:v>
                </c:pt>
                <c:pt idx="2">
                  <c:v>-312791.59043868212</c:v>
                </c:pt>
                <c:pt idx="3">
                  <c:v>-108345.98289838905</c:v>
                </c:pt>
                <c:pt idx="4">
                  <c:v>90613.757105403551</c:v>
                </c:pt>
                <c:pt idx="5">
                  <c:v>283170.20917259506</c:v>
                </c:pt>
                <c:pt idx="6">
                  <c:v>466359.46660559776</c:v>
                </c:pt>
                <c:pt idx="7">
                  <c:v>646818.88799451932</c:v>
                </c:pt>
                <c:pt idx="8">
                  <c:v>825536.53892840899</c:v>
                </c:pt>
                <c:pt idx="9">
                  <c:v>997841.31485044118</c:v>
                </c:pt>
                <c:pt idx="10">
                  <c:v>1317422.2931648574</c:v>
                </c:pt>
              </c:numCache>
            </c:numRef>
          </c:val>
          <c:extLst>
            <c:ext xmlns:c16="http://schemas.microsoft.com/office/drawing/2014/chart" uri="{C3380CC4-5D6E-409C-BE32-E72D297353CC}">
              <c16:uniqueId val="{00000001-570D-494F-A090-D694AF013999}"/>
            </c:ext>
          </c:extLst>
        </c:ser>
        <c:dLbls>
          <c:showLegendKey val="0"/>
          <c:showVal val="0"/>
          <c:showCatName val="0"/>
          <c:showSerName val="0"/>
          <c:showPercent val="0"/>
          <c:showBubbleSize val="0"/>
        </c:dLbls>
        <c:gapWidth val="219"/>
        <c:overlap val="-27"/>
        <c:axId val="1295890607"/>
        <c:axId val="1295882927"/>
      </c:barChart>
      <c:catAx>
        <c:axId val="1295890607"/>
        <c:scaling>
          <c:orientation val="minMax"/>
        </c:scaling>
        <c:delete val="0"/>
        <c:axPos val="b"/>
        <c:numFmt formatCode="&quot;سنة التأسيس&quot;"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82927"/>
        <c:crosses val="autoZero"/>
        <c:auto val="1"/>
        <c:lblAlgn val="ctr"/>
        <c:lblOffset val="100"/>
        <c:noMultiLvlLbl val="0"/>
      </c:catAx>
      <c:valAx>
        <c:axId val="1295882927"/>
        <c:scaling>
          <c:orientation val="minMax"/>
        </c:scaling>
        <c:delete val="0"/>
        <c:axPos val="l"/>
        <c:majorGridlines>
          <c:spPr>
            <a:ln w="9525" cap="flat" cmpd="sng" algn="ctr">
              <a:solidFill>
                <a:schemeClr val="tx1">
                  <a:lumMod val="15000"/>
                  <a:lumOff val="85000"/>
                </a:schemeClr>
              </a:solidFill>
              <a:round/>
            </a:ln>
            <a:effectLst/>
          </c:spPr>
        </c:majorGridlines>
        <c:numFmt formatCode="#,##0;\(#,##0\);&quot;-&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9589060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0</xdr:colOff>
      <xdr:row>3</xdr:row>
      <xdr:rowOff>0</xdr:rowOff>
    </xdr:from>
    <xdr:to>
      <xdr:col>13</xdr:col>
      <xdr:colOff>0</xdr:colOff>
      <xdr:row>20</xdr:row>
      <xdr:rowOff>0</xdr:rowOff>
    </xdr:to>
    <xdr:graphicFrame macro="">
      <xdr:nvGraphicFramePr>
        <xdr:cNvPr id="2" name="Chart 1">
          <a:extLst>
            <a:ext uri="{FF2B5EF4-FFF2-40B4-BE49-F238E27FC236}">
              <a16:creationId xmlns:a16="http://schemas.microsoft.com/office/drawing/2014/main" id="{F6B9F48C-FE6D-43AA-7CFE-12B0D78D9A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xdr:row>
      <xdr:rowOff>0</xdr:rowOff>
    </xdr:from>
    <xdr:to>
      <xdr:col>13</xdr:col>
      <xdr:colOff>0</xdr:colOff>
      <xdr:row>36</xdr:row>
      <xdr:rowOff>0</xdr:rowOff>
    </xdr:to>
    <xdr:graphicFrame macro="">
      <xdr:nvGraphicFramePr>
        <xdr:cNvPr id="3" name="Chart 2">
          <a:extLst>
            <a:ext uri="{FF2B5EF4-FFF2-40B4-BE49-F238E27FC236}">
              <a16:creationId xmlns:a16="http://schemas.microsoft.com/office/drawing/2014/main" id="{8349748B-4035-D857-39A8-5BDF45D58FB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1840F-F8EB-4D3C-92D8-F723A226073D}">
  <sheetPr>
    <tabColor rgb="FF1F3864"/>
    <pageSetUpPr fitToPage="1"/>
  </sheetPr>
  <dimension ref="A2:C36"/>
  <sheetViews>
    <sheetView showGridLines="0" rightToLeft="1" tabSelected="1" zoomScale="90" zoomScaleNormal="90" workbookViewId="0"/>
  </sheetViews>
  <sheetFormatPr defaultRowHeight="12.75" x14ac:dyDescent="0.2"/>
  <cols>
    <col min="1" max="1" width="6.7109375" style="1" customWidth="1"/>
    <col min="2" max="2" width="36.7109375" style="1" customWidth="1"/>
    <col min="3" max="3" width="78.7109375" style="1" customWidth="1"/>
    <col min="4" max="16384" width="9.140625" style="1"/>
  </cols>
  <sheetData>
    <row r="2" spans="1:3" ht="20.25" x14ac:dyDescent="0.2">
      <c r="B2" s="3" t="s">
        <v>0</v>
      </c>
    </row>
    <row r="3" spans="1:3" ht="15.75" x14ac:dyDescent="0.2">
      <c r="B3" s="4" t="s">
        <v>1</v>
      </c>
    </row>
    <row r="4" spans="1:3" x14ac:dyDescent="0.2">
      <c r="B4" s="5" t="s">
        <v>2</v>
      </c>
    </row>
    <row r="5" spans="1:3" x14ac:dyDescent="0.2">
      <c r="B5" s="5" t="s">
        <v>3</v>
      </c>
    </row>
    <row r="7" spans="1:3" x14ac:dyDescent="0.2">
      <c r="A7" s="6" t="s">
        <v>4</v>
      </c>
      <c r="B7" s="6" t="s">
        <v>5</v>
      </c>
      <c r="C7" s="6" t="s">
        <v>6</v>
      </c>
    </row>
    <row r="8" spans="1:3" x14ac:dyDescent="0.2">
      <c r="A8" s="7">
        <v>1</v>
      </c>
      <c r="B8" s="8" t="s">
        <v>7</v>
      </c>
      <c r="C8" s="9" t="s">
        <v>8</v>
      </c>
    </row>
    <row r="9" spans="1:3" x14ac:dyDescent="0.2">
      <c r="A9" s="7">
        <v>2</v>
      </c>
      <c r="B9" s="8" t="s">
        <v>9</v>
      </c>
      <c r="C9" s="9" t="s">
        <v>10</v>
      </c>
    </row>
    <row r="10" spans="1:3" x14ac:dyDescent="0.2">
      <c r="A10" s="7">
        <v>3</v>
      </c>
      <c r="B10" s="8" t="s">
        <v>11</v>
      </c>
      <c r="C10" s="9" t="s">
        <v>12</v>
      </c>
    </row>
    <row r="11" spans="1:3" x14ac:dyDescent="0.2">
      <c r="A11" s="7">
        <v>4</v>
      </c>
      <c r="B11" s="8" t="s">
        <v>13</v>
      </c>
      <c r="C11" s="9" t="s">
        <v>14</v>
      </c>
    </row>
    <row r="12" spans="1:3" x14ac:dyDescent="0.2">
      <c r="A12" s="7">
        <v>5</v>
      </c>
      <c r="B12" s="8" t="s">
        <v>15</v>
      </c>
      <c r="C12" s="9" t="s">
        <v>16</v>
      </c>
    </row>
    <row r="13" spans="1:3" x14ac:dyDescent="0.2">
      <c r="A13" s="7">
        <v>6</v>
      </c>
      <c r="B13" s="8" t="inlineStr">
        <is>
          <t>الإنتاج الشهري</t>
        </is>
      </c>
      <c r="C13" s="9" t="inlineStr">
        <is>
          <t>توزيع الإنتاج على 120 شهراً حسب أيام العمل، مع مطابقة المجاميع السنوية</t>
        </is>
      </c>
    </row>
    <row r="14" spans="1:3" x14ac:dyDescent="0.2">
      <c r="A14" s="7">
        <v>7</v>
      </c>
      <c r="B14" s="8" t="s">
        <v>17</v>
      </c>
      <c r="C14" s="9" t="s">
        <v>18</v>
      </c>
    </row>
    <row r="15" spans="1:3" x14ac:dyDescent="0.2">
      <c r="A15" s="7">
        <v>8</v>
      </c>
      <c r="B15" s="8" t="s">
        <v>19</v>
      </c>
      <c r="C15" s="9" t="s">
        <v>20</v>
      </c>
    </row>
    <row r="16" spans="1:3" x14ac:dyDescent="0.2">
      <c r="A16" s="7">
        <v>9</v>
      </c>
      <c r="B16" s="8" t="s">
        <v>21</v>
      </c>
      <c r="C16" s="9" t="s">
        <v>22</v>
      </c>
    </row>
    <row r="17" spans="1:3" x14ac:dyDescent="0.2">
      <c r="A17" s="7">
        <v>10</v>
      </c>
      <c r="B17" s="8" t="s">
        <v>23</v>
      </c>
      <c r="C17" s="9" t="s">
        <v>24</v>
      </c>
    </row>
    <row r="18" spans="1:3" x14ac:dyDescent="0.2">
      <c r="A18" s="7">
        <v>11</v>
      </c>
      <c r="B18" s="8" t="s">
        <v>25</v>
      </c>
      <c r="C18" s="9" t="s">
        <v>26</v>
      </c>
    </row>
    <row r="19" spans="1:3" x14ac:dyDescent="0.2">
      <c r="A19" s="7">
        <v>12</v>
      </c>
      <c r="B19" s="8" t="s">
        <v>27</v>
      </c>
      <c r="C19" s="9" t="s">
        <v>28</v>
      </c>
    </row>
    <row r="20" spans="1:3" x14ac:dyDescent="0.2">
      <c r="A20" s="7">
        <v>13</v>
      </c>
      <c r="B20" s="8" t="s">
        <v>29</v>
      </c>
      <c r="C20" s="9" t="s">
        <v>30</v>
      </c>
    </row>
    <row r="21" spans="1:3" x14ac:dyDescent="0.2">
      <c r="A21" s="7">
        <v>14</v>
      </c>
      <c r="B21" s="8" t="s">
        <v>31</v>
      </c>
      <c r="C21" s="9" t="s">
        <v>32</v>
      </c>
    </row>
    <row r="22" spans="1:3" x14ac:dyDescent="0.2">
      <c r="A22" s="7">
        <v>15</v>
      </c>
      <c r="B22" s="8" t="s">
        <v>33</v>
      </c>
      <c r="C22" s="9" t="s">
        <v>34</v>
      </c>
    </row>
    <row r="23" spans="1:3" x14ac:dyDescent="0.2">
      <c r="A23" s="7">
        <v>16</v>
      </c>
      <c r="B23" s="8" t="s">
        <v>35</v>
      </c>
      <c r="C23" s="9" t="s">
        <v>36</v>
      </c>
    </row>
    <row r="24" spans="1:3" x14ac:dyDescent="0.2">
      <c r="A24" s="7">
        <v>17</v>
      </c>
      <c r="B24" s="8" t="s">
        <v>37</v>
      </c>
      <c r="C24" s="9" t="s">
        <v>38</v>
      </c>
    </row>
    <row r="25" spans="1:3" x14ac:dyDescent="0.2">
      <c r="A25" s="7">
        <v>18</v>
      </c>
      <c r="B25" s="8" t="s">
        <v>39</v>
      </c>
      <c r="C25" s="9" t="s">
        <v>40</v>
      </c>
    </row>
    <row r="26" spans="1:3" x14ac:dyDescent="0.2">
      <c r="A26" s="7">
        <v>19</v>
      </c>
      <c r="B26" s="8" t="s">
        <v>41</v>
      </c>
      <c r="C26" s="9" t="s">
        <v>42</v>
      </c>
    </row>
    <row r="27" spans="1:3" x14ac:dyDescent="0.2">
      <c r="A27" s="7">
        <v>20</v>
      </c>
      <c r="B27" s="8" t="s">
        <v>43</v>
      </c>
      <c r="C27" s="9" t="s">
        <v>44</v>
      </c>
    </row>
    <row r="28" spans="1:3" x14ac:dyDescent="0.2">
      <c r="A28" s="7">
        <v>21</v>
      </c>
      <c r="B28" s="8" t="s">
        <v>45</v>
      </c>
      <c r="C28" s="9" t="s">
        <v>46</v>
      </c>
    </row>
    <row r="29" spans="1:3" ht="15.75" x14ac:dyDescent="0.2">
      <c r="B29" s="4" t="s">
        <v>47</v>
      </c>
    </row>
    <row r="30" spans="1:3" x14ac:dyDescent="0.2">
      <c r="B30" s="10">
        <v>1000</v>
      </c>
      <c r="C30" s="9" t="s">
        <v>48</v>
      </c>
    </row>
    <row r="31" spans="1:3" x14ac:dyDescent="0.2">
      <c r="B31" s="11">
        <v>1000</v>
      </c>
      <c r="C31" s="9" t="s">
        <v>49</v>
      </c>
    </row>
    <row r="32" spans="1:3" x14ac:dyDescent="0.2">
      <c r="B32" s="12">
        <v>1000</v>
      </c>
      <c r="C32" s="9" t="s">
        <v>50</v>
      </c>
    </row>
    <row r="33" spans="2:3" x14ac:dyDescent="0.2">
      <c r="B33" s="13">
        <v>1000</v>
      </c>
      <c r="C33" s="9" t="s">
        <v>51</v>
      </c>
    </row>
    <row r="35" spans="2:3" ht="15.75" x14ac:dyDescent="0.2">
      <c r="B35" s="4" t="s">
        <v>52</v>
      </c>
    </row>
    <row r="36" spans="2:3" ht="38.25" x14ac:dyDescent="0.2">
      <c r="C36" s="14" t="s">
        <v>53</v>
      </c>
    </row>
  </sheetData>
  <hyperlinks>
    <hyperlink ref="B8" location="'الملخص التنفيذي'!A1" display="الملخص التنفيذي" xr:uid="{6BFC0100-1975-435D-B194-CD77C5070764}"/>
    <hyperlink ref="B9" location="'الافتراضات'!A1" display="الافتراضات" xr:uid="{D17F1814-27C0-4A3C-A3A8-C94FEF61DE31}"/>
    <hyperlink ref="B10" location="'التراخيص'!A1" display="التراخيص" xr:uid="{6C3811A9-1433-4DD8-A5EA-8183BFD2407E}"/>
    <hyperlink ref="B11" location="'السوق والسعر'!A1" display="السوق والسعر" xr:uid="{2A742BB1-424A-48EF-A147-B94877A019DF}"/>
    <hyperlink ref="B12" location="'الخطة الفنية والإنتاج'!A1" display="الخطة الفنية والإنتاج" xr:uid="{5E348B6A-955F-4370-BBC9-1054E889EC77}"/>
    <hyperlink ref="B13" location="'الإنتاج الشهري'!A1" display="الإنتاج الشهري"/>
    <hyperlink ref="B14" location="'الجدول الزمني'!A1" display="الجدول الزمني" xr:uid="{BF78AFBA-D548-49B7-A3D8-A53125BA4130}"/>
    <hyperlink ref="B15" location="'الأصول والإهلاك'!A1" display="الأصول والإهلاك" xr:uid="{9FE7AF2F-2485-4984-A604-1219C3F7CF4D}"/>
    <hyperlink ref="B16" location="'مصاريف ما قبل التشغيل'!A1" display="مصاريف ما قبل التشغيل" xr:uid="{3CD3DF14-8AC3-491C-BCF9-FA218673B347}"/>
    <hyperlink ref="B17" location="'الموارد البشرية'!A1" display="الموارد البشرية" xr:uid="{B408E373-01F3-4688-B63D-9BDFC6BFA174}"/>
    <hyperlink ref="B18" location="'الإيجارات'!A1" display="الإيجارات" xr:uid="{3BE9E7FC-DE3A-4164-A350-EB089395067C}"/>
    <hyperlink ref="B19" location="'المواد المستهلكة'!A1" display="المواد المستهلكة" xr:uid="{986E04D6-D38D-4215-9BAF-15DB1DA31060}"/>
    <hyperlink ref="B20" location="'الإيرادات'!A1" display="الإيرادات" xr:uid="{F867BF57-FA4A-4C7E-954F-3C4BF6C22CCD}"/>
    <hyperlink ref="B21" location="'التكاليف التشغيلية'!A1" display="التكاليف التشغيلية" xr:uid="{83281A25-F5FA-4922-8510-EC9E5BF49359}"/>
    <hyperlink ref="B22" location="'التكلفة الاستثمارية والتمويل'!A1" display="التكلفة الاستثمارية والتمويل" xr:uid="{DA204915-EADA-493F-A97D-15DC6FA33207}"/>
    <hyperlink ref="B23" location="'قائمة الدخل'!A1" display="قائمة الدخل" xr:uid="{DBC68A87-10EB-4EE4-8CAC-550DBAFB95A8}"/>
    <hyperlink ref="B24" location="'التدفقات النقدية'!A1" display="التدفقات النقدية" xr:uid="{C051A147-5F61-4038-AECF-03ABAE18CED6}"/>
    <hyperlink ref="B25" location="'المؤشرات المالية'!A1" display="المؤشرات المالية" xr:uid="{4B8009ED-5A9E-48F1-BD17-81736CBF4848}"/>
    <hyperlink ref="B26" location="'تحليل الحساسية'!A1" display="تحليل الحساسية" xr:uid="{59A7728A-BFC6-4D32-B26C-E9689ECD569B}"/>
    <hyperlink ref="B27" location="'المخاطر و SWOT'!A1" display="المخاطر و SWOT" xr:uid="{4A92C166-5B2F-47C2-A110-F0EF99733F88}"/>
    <hyperlink ref="B28" location="'التصحيحات والمصادر'!A1" display="التصحيحات والمصادر" xr:uid="{486929A0-821E-46E9-A70B-9EDAE216C64A}"/>
  </hyperlinks>
  <pageMargins left="0.3888888888888889" right="0.3888888888888889" top="0.5" bottom="0.5" header="0.3" footer="0.3"/>
  <pageSetup paperSize="9" fitToHeight="0" orientation="landscape" verticalDpi="0" r:id="rId1"/>
  <headerFooter>
    <oddFooter>&amp;C&amp;P /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62480C-039B-4682-909D-DCD93B210E03}">
  <sheetPr>
    <tabColor rgb="FF1F3864"/>
    <pageSetUpPr fitToPage="1"/>
  </sheetPr>
  <dimension ref="A1:D34"/>
  <sheetViews>
    <sheetView showGridLines="0" rightToLeft="1" zoomScale="90" zoomScaleNormal="90" workbookViewId="0"/>
  </sheetViews>
  <sheetFormatPr defaultRowHeight="12.75" x14ac:dyDescent="0.2"/>
  <cols>
    <col min="1" max="1" width="46.7109375" style="1" customWidth="1"/>
    <col min="2" max="2" width="18.7109375" style="1" customWidth="1"/>
    <col min="3" max="3" width="16.7109375" style="1" customWidth="1"/>
    <col min="4" max="4" width="50.7109375" style="1" customWidth="1"/>
    <col min="5" max="5" width="3.7109375" style="1" customWidth="1"/>
    <col min="6" max="13" width="11.7109375" style="1" customWidth="1"/>
    <col min="14" max="16384" width="9.140625" style="1"/>
  </cols>
  <sheetData>
    <row r="1" spans="1:4" ht="20.25" x14ac:dyDescent="0.2">
      <c r="A1" s="3" t="s">
        <v>7</v>
      </c>
    </row>
    <row r="2" spans="1:4" x14ac:dyDescent="0.2">
      <c r="A2" s="5" t="s">
        <v>54</v>
      </c>
    </row>
    <row r="4" spans="1:4" x14ac:dyDescent="0.2">
      <c r="A4" s="6" t="s">
        <v>55</v>
      </c>
      <c r="B4" s="6" t="s">
        <v>56</v>
      </c>
      <c r="C4" s="6" t="s">
        <v>57</v>
      </c>
      <c r="D4" s="6" t="s">
        <v>58</v>
      </c>
    </row>
    <row r="5" spans="1:4" x14ac:dyDescent="0.2">
      <c r="A5" s="15" t="s">
        <v>59</v>
      </c>
      <c r="B5" s="15"/>
      <c r="C5" s="15"/>
      <c r="D5" s="15"/>
    </row>
    <row r="6" spans="1:4" x14ac:dyDescent="0.2">
      <c r="A6" s="9" t="s">
        <v>60</v>
      </c>
      <c r="B6" s="11">
        <f>SaleCap</f>
        <v>11900</v>
      </c>
      <c r="C6" s="7" t="s">
        <v>61</v>
      </c>
      <c r="D6" s="16" t="s">
        <v>62</v>
      </c>
    </row>
    <row r="7" spans="1:4" x14ac:dyDescent="0.2">
      <c r="A7" s="9" t="s">
        <v>63</v>
      </c>
      <c r="B7" s="17">
        <f>OreGrade</f>
        <v>0.32</v>
      </c>
      <c r="C7" s="7" t="s">
        <v>64</v>
      </c>
      <c r="D7" s="16" t="s">
        <v>65</v>
      </c>
    </row>
    <row r="8" spans="1:4" x14ac:dyDescent="0.2">
      <c r="A8" s="9" t="s">
        <v>66</v>
      </c>
      <c r="B8" s="18">
        <f>SalePrice</f>
        <v>47.268830967741934</v>
      </c>
      <c r="C8" s="7" t="s">
        <v>67</v>
      </c>
      <c r="D8" s="16" t="s">
        <v>68</v>
      </c>
    </row>
    <row r="9" spans="1:4" x14ac:dyDescent="0.2">
      <c r="A9" s="9" t="s">
        <v>69</v>
      </c>
      <c r="B9" s="11">
        <f>'الموارد البشرية'!D17</f>
        <v>22</v>
      </c>
      <c r="C9" s="7" t="s">
        <v>70</v>
      </c>
      <c r="D9" s="16"/>
    </row>
    <row r="10" spans="1:4" x14ac:dyDescent="0.2">
      <c r="A10" s="9" t="s">
        <v>71</v>
      </c>
      <c r="B10" s="17">
        <f>'الموارد البشرية'!B22</f>
        <v>0.45454545454545453</v>
      </c>
      <c r="C10" s="7" t="s">
        <v>72</v>
      </c>
      <c r="D10" s="16"/>
    </row>
    <row r="11" spans="1:4" x14ac:dyDescent="0.2">
      <c r="A11" s="15" t="s">
        <v>73</v>
      </c>
      <c r="B11" s="15"/>
      <c r="C11" s="15"/>
      <c r="D11" s="15"/>
    </row>
    <row r="12" spans="1:4" x14ac:dyDescent="0.2">
      <c r="A12" s="9" t="s">
        <v>74</v>
      </c>
      <c r="B12" s="13">
        <f>TotalInv</f>
        <v>579532.2925294193</v>
      </c>
      <c r="C12" s="7" t="s">
        <v>75</v>
      </c>
      <c r="D12" s="16" t="s">
        <v>76</v>
      </c>
    </row>
    <row r="13" spans="1:4" x14ac:dyDescent="0.2">
      <c r="A13" s="9" t="s">
        <v>77</v>
      </c>
      <c r="B13" s="11">
        <f>SunkCost</f>
        <v>200000</v>
      </c>
      <c r="C13" s="7" t="s">
        <v>75</v>
      </c>
      <c r="D13" s="16" t="s">
        <v>78</v>
      </c>
    </row>
    <row r="14" spans="1:4" x14ac:dyDescent="0.2">
      <c r="A14" s="9" t="s">
        <v>79</v>
      </c>
      <c r="B14" s="11">
        <f>NewInv</f>
        <v>379532.2925294193</v>
      </c>
      <c r="C14" s="7" t="s">
        <v>75</v>
      </c>
      <c r="D14" s="16"/>
    </row>
    <row r="15" spans="1:4" x14ac:dyDescent="0.2">
      <c r="A15" s="9" t="s">
        <v>80</v>
      </c>
      <c r="B15" s="11">
        <f>Loan</f>
        <v>150000</v>
      </c>
      <c r="C15" s="7" t="s">
        <v>75</v>
      </c>
      <c r="D15" s="16" t="s">
        <v>81</v>
      </c>
    </row>
    <row r="16" spans="1:4" x14ac:dyDescent="0.2">
      <c r="A16" s="15" t="s">
        <v>82</v>
      </c>
      <c r="B16" s="15"/>
      <c r="C16" s="15"/>
      <c r="D16" s="15"/>
    </row>
    <row r="17" spans="1:4" x14ac:dyDescent="0.2">
      <c r="A17" s="9" t="s">
        <v>29</v>
      </c>
      <c r="B17" s="11">
        <f>الإيرادات!F7</f>
        <v>562499.08851612906</v>
      </c>
      <c r="C17" s="7" t="s">
        <v>75</v>
      </c>
      <c r="D17" s="16"/>
    </row>
    <row r="18" spans="1:4" x14ac:dyDescent="0.2">
      <c r="A18" s="9" t="s">
        <v>83</v>
      </c>
      <c r="B18" s="11">
        <f>'التكاليف التشغيلية'!F29</f>
        <v>330710.18624566763</v>
      </c>
      <c r="C18" s="7" t="s">
        <v>75</v>
      </c>
      <c r="D18" s="16"/>
    </row>
    <row r="19" spans="1:4" x14ac:dyDescent="0.2">
      <c r="A19" s="9" t="s">
        <v>84</v>
      </c>
      <c r="B19" s="18">
        <f>'التكاليف التشغيلية'!F30</f>
        <v>27.790771953417448</v>
      </c>
      <c r="C19" s="7" t="s">
        <v>67</v>
      </c>
      <c r="D19" s="16"/>
    </row>
    <row r="20" spans="1:4" x14ac:dyDescent="0.2">
      <c r="A20" s="9" t="s">
        <v>85</v>
      </c>
      <c r="B20" s="11">
        <f>'قائمة الدخل'!F10</f>
        <v>231788.90227046143</v>
      </c>
      <c r="C20" s="7" t="s">
        <v>75</v>
      </c>
      <c r="D20" s="16"/>
    </row>
    <row r="21" spans="1:4" x14ac:dyDescent="0.2">
      <c r="A21" s="9" t="s">
        <v>86</v>
      </c>
      <c r="B21" s="11">
        <f>'قائمة الدخل'!F20</f>
        <v>154945.3368042873</v>
      </c>
      <c r="C21" s="7" t="s">
        <v>75</v>
      </c>
      <c r="D21" s="16"/>
    </row>
    <row r="22" spans="1:4" x14ac:dyDescent="0.2">
      <c r="A22" s="15" t="s">
        <v>87</v>
      </c>
      <c r="B22" s="15"/>
      <c r="C22" s="15"/>
      <c r="D22" s="15"/>
    </row>
    <row r="23" spans="1:4" x14ac:dyDescent="0.2">
      <c r="A23" s="9" t="s">
        <v>88</v>
      </c>
      <c r="B23" s="13">
        <f>K_NPV</f>
        <v>435136.91040875483</v>
      </c>
      <c r="C23" s="7" t="s">
        <v>75</v>
      </c>
      <c r="D23" s="16" t="s">
        <v>89</v>
      </c>
    </row>
    <row r="24" spans="1:4" x14ac:dyDescent="0.2">
      <c r="A24" s="9" t="s">
        <v>90</v>
      </c>
      <c r="B24" s="19">
        <f>K_IRR</f>
        <v>0.26454717403704664</v>
      </c>
      <c r="C24" s="7" t="s">
        <v>72</v>
      </c>
      <c r="D24" s="16" t="s">
        <v>91</v>
      </c>
    </row>
    <row r="25" spans="1:4" x14ac:dyDescent="0.2">
      <c r="A25" s="9" t="s">
        <v>92</v>
      </c>
      <c r="B25" s="17">
        <f>K_IRRNew</f>
        <v>0.41139050779826225</v>
      </c>
      <c r="C25" s="7" t="s">
        <v>72</v>
      </c>
      <c r="D25" s="16" t="s">
        <v>93</v>
      </c>
    </row>
    <row r="26" spans="1:4" x14ac:dyDescent="0.2">
      <c r="A26" s="9" t="s">
        <v>94</v>
      </c>
      <c r="B26" s="20">
        <f>K_Payback</f>
        <v>3.5445623466150677</v>
      </c>
      <c r="C26" s="7" t="s">
        <v>95</v>
      </c>
      <c r="D26" s="16" t="s">
        <v>96</v>
      </c>
    </row>
    <row r="27" spans="1:4" x14ac:dyDescent="0.2">
      <c r="A27" s="9" t="s">
        <v>97</v>
      </c>
      <c r="B27" s="18">
        <f>'المؤشرات المالية'!B29</f>
        <v>30.972690118961705</v>
      </c>
      <c r="C27" s="7" t="s">
        <v>67</v>
      </c>
      <c r="D27" s="16" t="s">
        <v>98</v>
      </c>
    </row>
    <row r="28" spans="1:4" x14ac:dyDescent="0.2">
      <c r="A28" s="9" t="s">
        <v>99</v>
      </c>
      <c r="B28" s="17">
        <f>'المؤشرات المالية'!B28</f>
        <v>0.60730145279235459</v>
      </c>
      <c r="C28" s="7" t="s">
        <v>72</v>
      </c>
      <c r="D28" s="16"/>
    </row>
    <row r="29" spans="1:4" x14ac:dyDescent="0.2">
      <c r="A29" s="15" t="s">
        <v>100</v>
      </c>
      <c r="B29" s="15"/>
      <c r="C29" s="15"/>
      <c r="D29" s="15"/>
    </row>
    <row r="30" spans="1:4" x14ac:dyDescent="0.2">
      <c r="A30" s="21" t="str">
        <f>IF(AND(ISNUMBER(K_IRR),K_NPV&gt;0),"النتيجة: المشروع مجدٍ اقتصادياً وفق الافتراضات الحالية — صافي القيمة الحالية موجب ومعدل العائد الداخلي أعلى من معدل الخصم.","النتيجة: المشروع غير مجدٍ وفق الافتراضات الحالية — صافي القيمة الحالية سالب عند معدل الخصم المعتمد.")</f>
        <v>النتيجة: المشروع مجدٍ اقتصادياً وفق الافتراضات الحالية — صافي القيمة الحالية موجب ومعدل العائد الداخلي أعلى من معدل الخصم.</v>
      </c>
      <c r="B30" s="22"/>
      <c r="C30" s="22"/>
      <c r="D30" s="22"/>
    </row>
    <row r="31" spans="1:4" x14ac:dyDescent="0.2">
      <c r="A31" s="2" t="s">
        <v>101</v>
      </c>
    </row>
    <row r="32" spans="1:4" x14ac:dyDescent="0.2">
      <c r="A32" s="2" t="s">
        <v>102</v>
      </c>
    </row>
    <row r="33" spans="1:1" x14ac:dyDescent="0.2">
      <c r="A33" s="2" t="s">
        <v>103</v>
      </c>
    </row>
    <row r="34" spans="1:1" x14ac:dyDescent="0.2">
      <c r="A34" s="2" t="s">
        <v>104</v>
      </c>
    </row>
  </sheetData>
  <pageMargins left="0.3888888888888889" right="0.3888888888888889" top="0.5" bottom="0.5" header="0.3" footer="0.3"/>
  <pageSetup paperSize="9" scale="59" fitToHeight="0" orientation="landscape" verticalDpi="0" r:id="rId1"/>
  <headerFooter>
    <oddFooter>&amp;C&amp;P / &amp;N</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8976F7-6650-42E2-9541-F500391F196F}">
  <sheetPr>
    <tabColor rgb="FFBF8F00"/>
    <pageSetUpPr fitToPage="1"/>
  </sheetPr>
  <dimension ref="A1:D59"/>
  <sheetViews>
    <sheetView showGridLines="0" rightToLeft="1" zoomScale="90" zoomScaleNormal="90" workbookViewId="0"/>
  </sheetViews>
  <sheetFormatPr defaultRowHeight="12.75" x14ac:dyDescent="0.2"/>
  <cols>
    <col min="1" max="1" width="50.7109375" style="1" customWidth="1"/>
    <col min="2" max="2" width="22.7109375" style="1" customWidth="1"/>
    <col min="3" max="3" width="18.7109375" style="1" customWidth="1"/>
    <col min="4" max="4" width="82.7109375" style="1" customWidth="1"/>
    <col min="5" max="16384" width="9.140625" style="1"/>
  </cols>
  <sheetData>
    <row r="1" spans="1:4" ht="20.25" x14ac:dyDescent="0.2">
      <c r="A1" s="3" t="s">
        <v>105</v>
      </c>
    </row>
    <row r="2" spans="1:4" x14ac:dyDescent="0.2">
      <c r="A2" s="5" t="s">
        <v>106</v>
      </c>
    </row>
    <row r="4" spans="1:4" x14ac:dyDescent="0.2">
      <c r="A4" s="6" t="s">
        <v>107</v>
      </c>
      <c r="B4" s="6" t="s">
        <v>56</v>
      </c>
      <c r="C4" s="6" t="s">
        <v>57</v>
      </c>
      <c r="D4" s="6" t="s">
        <v>108</v>
      </c>
    </row>
    <row r="5" spans="1:4" x14ac:dyDescent="0.2">
      <c r="A5" s="15" t="s">
        <v>109</v>
      </c>
      <c r="B5" s="15"/>
      <c r="C5" s="15"/>
      <c r="D5" s="15"/>
    </row>
    <row r="6" spans="1:4" x14ac:dyDescent="0.2">
      <c r="A6" s="9" t="s">
        <v>110</v>
      </c>
      <c r="B6" s="23" t="s">
        <v>111</v>
      </c>
      <c r="C6" s="7" t="s">
        <v>112</v>
      </c>
      <c r="D6" s="16" t="s">
        <v>113</v>
      </c>
    </row>
    <row r="7" spans="1:4" x14ac:dyDescent="0.2">
      <c r="A7" s="9" t="s">
        <v>114</v>
      </c>
      <c r="B7" s="23" t="s">
        <v>115</v>
      </c>
      <c r="C7" s="7" t="s">
        <v>112</v>
      </c>
      <c r="D7" s="16" t="s">
        <v>116</v>
      </c>
    </row>
    <row r="8" spans="1:4" x14ac:dyDescent="0.2">
      <c r="A8" s="9" t="s">
        <v>117</v>
      </c>
      <c r="B8" s="24">
        <v>46388</v>
      </c>
      <c r="C8" s="7" t="s">
        <v>118</v>
      </c>
      <c r="D8" s="16" t="s">
        <v>119</v>
      </c>
    </row>
    <row r="9" spans="1:4" x14ac:dyDescent="0.2">
      <c r="A9" s="9" t="s">
        <v>120</v>
      </c>
      <c r="B9" s="25">
        <v>0.38450000000000001</v>
      </c>
      <c r="C9" s="7" t="s">
        <v>121</v>
      </c>
      <c r="D9" s="16" t="s">
        <v>122</v>
      </c>
    </row>
    <row r="10" spans="1:4" x14ac:dyDescent="0.2">
      <c r="A10" s="9" t="s">
        <v>123</v>
      </c>
      <c r="B10" s="11">
        <v>10</v>
      </c>
      <c r="C10" s="7" t="s">
        <v>95</v>
      </c>
      <c r="D10" s="16" t="s">
        <v>124</v>
      </c>
    </row>
    <row r="11" spans="1:4" x14ac:dyDescent="0.2">
      <c r="A11" s="15" t="s">
        <v>125</v>
      </c>
      <c r="B11" s="15"/>
      <c r="C11" s="15"/>
      <c r="D11" s="15"/>
    </row>
    <row r="12" spans="1:4" x14ac:dyDescent="0.2">
      <c r="A12" s="9" t="s">
        <v>126</v>
      </c>
      <c r="B12" s="10">
        <v>140000</v>
      </c>
      <c r="C12" s="7" t="s">
        <v>127</v>
      </c>
      <c r="D12" s="16" t="s">
        <v>128</v>
      </c>
    </row>
    <row r="13" spans="1:4" x14ac:dyDescent="0.2">
      <c r="A13" s="9" t="s">
        <v>129</v>
      </c>
      <c r="B13" s="26">
        <v>0.32</v>
      </c>
      <c r="C13" s="7" t="s">
        <v>72</v>
      </c>
      <c r="D13" s="16" t="s">
        <v>130</v>
      </c>
    </row>
    <row r="14" spans="1:4" x14ac:dyDescent="0.2">
      <c r="A14" s="9" t="s">
        <v>131</v>
      </c>
      <c r="B14" s="27">
        <v>8</v>
      </c>
      <c r="C14" s="7" t="s">
        <v>132</v>
      </c>
      <c r="D14" s="16" t="s">
        <v>133</v>
      </c>
    </row>
    <row r="15" spans="1:4" x14ac:dyDescent="0.2">
      <c r="A15" s="9" t="s">
        <v>134</v>
      </c>
      <c r="B15" s="26">
        <v>0.85</v>
      </c>
      <c r="C15" s="7" t="s">
        <v>72</v>
      </c>
      <c r="D15" s="16" t="s">
        <v>135</v>
      </c>
    </row>
    <row r="16" spans="1:4" x14ac:dyDescent="0.2">
      <c r="A16" s="9" t="s">
        <v>136</v>
      </c>
      <c r="B16" s="10">
        <v>300</v>
      </c>
      <c r="C16" s="7" t="s">
        <v>137</v>
      </c>
      <c r="D16" s="16" t="s">
        <v>138</v>
      </c>
    </row>
    <row r="17" spans="1:4" x14ac:dyDescent="0.2">
      <c r="A17" s="9" t="s">
        <v>139</v>
      </c>
      <c r="B17" s="10">
        <v>8</v>
      </c>
      <c r="C17" s="7" t="s">
        <v>140</v>
      </c>
      <c r="D17" s="16" t="s">
        <v>141</v>
      </c>
    </row>
    <row r="18" spans="1:4" x14ac:dyDescent="0.2">
      <c r="A18" s="9" t="s">
        <v>142</v>
      </c>
      <c r="B18" s="26">
        <v>0.75</v>
      </c>
      <c r="C18" s="7" t="s">
        <v>72</v>
      </c>
      <c r="D18" s="16" t="s">
        <v>143</v>
      </c>
    </row>
    <row r="19" spans="1:4" x14ac:dyDescent="0.2">
      <c r="A19" s="9" t="s">
        <v>144</v>
      </c>
      <c r="B19" s="27">
        <v>35</v>
      </c>
      <c r="C19" s="7" t="s">
        <v>145</v>
      </c>
      <c r="D19" s="16" t="s">
        <v>146</v>
      </c>
    </row>
    <row r="20" spans="1:4" x14ac:dyDescent="0.2">
      <c r="A20" s="15" t="s">
        <v>147</v>
      </c>
      <c r="B20" s="15"/>
      <c r="C20" s="15"/>
      <c r="D20" s="15"/>
    </row>
    <row r="21" spans="1:4" x14ac:dyDescent="0.2">
      <c r="A21" s="9" t="s">
        <v>148</v>
      </c>
      <c r="B21" s="27">
        <v>200</v>
      </c>
      <c r="C21" s="7" t="s">
        <v>149</v>
      </c>
      <c r="D21" s="16" t="s">
        <v>150</v>
      </c>
    </row>
    <row r="22" spans="1:4" x14ac:dyDescent="0.2">
      <c r="A22" s="9" t="s">
        <v>151</v>
      </c>
      <c r="B22" s="26">
        <v>0.31</v>
      </c>
      <c r="C22" s="7" t="s">
        <v>72</v>
      </c>
      <c r="D22" s="16" t="s">
        <v>152</v>
      </c>
    </row>
    <row r="23" spans="1:4" x14ac:dyDescent="0.2">
      <c r="A23" s="9" t="s">
        <v>153</v>
      </c>
      <c r="B23" s="27">
        <v>24</v>
      </c>
      <c r="C23" s="7" t="s">
        <v>149</v>
      </c>
      <c r="D23" s="16" t="s">
        <v>154</v>
      </c>
    </row>
    <row r="24" spans="1:4" x14ac:dyDescent="0.2">
      <c r="A24" s="9" t="s">
        <v>155</v>
      </c>
      <c r="B24" s="28">
        <v>2.5</v>
      </c>
      <c r="C24" s="7" t="s">
        <v>156</v>
      </c>
      <c r="D24" s="16" t="s">
        <v>157</v>
      </c>
    </row>
    <row r="25" spans="1:4" x14ac:dyDescent="0.2">
      <c r="A25" s="9" t="s">
        <v>158</v>
      </c>
      <c r="B25" s="26">
        <v>0.1</v>
      </c>
      <c r="C25" s="7" t="s">
        <v>159</v>
      </c>
      <c r="D25" s="16" t="s">
        <v>160</v>
      </c>
    </row>
    <row r="26" spans="1:4" x14ac:dyDescent="0.2">
      <c r="A26" s="9" t="s">
        <v>161</v>
      </c>
      <c r="B26" s="10">
        <v>300</v>
      </c>
      <c r="C26" s="7" t="s">
        <v>162</v>
      </c>
      <c r="D26" s="16" t="s">
        <v>163</v>
      </c>
    </row>
    <row r="27" spans="1:4" x14ac:dyDescent="0.2">
      <c r="A27" s="9" t="s">
        <v>164</v>
      </c>
      <c r="B27" s="25">
        <v>0.02</v>
      </c>
      <c r="C27" s="7" t="s">
        <v>165</v>
      </c>
      <c r="D27" s="16" t="s">
        <v>166</v>
      </c>
    </row>
    <row r="28" spans="1:4" x14ac:dyDescent="0.2">
      <c r="A28" s="9" t="s">
        <v>167</v>
      </c>
      <c r="B28" s="26">
        <v>0.12</v>
      </c>
      <c r="C28" s="7" t="s">
        <v>72</v>
      </c>
      <c r="D28" s="16" t="s">
        <v>168</v>
      </c>
    </row>
    <row r="29" spans="1:4" x14ac:dyDescent="0.2">
      <c r="A29" s="9" t="s">
        <v>169</v>
      </c>
      <c r="B29" s="26">
        <v>0</v>
      </c>
      <c r="C29" s="7" t="s">
        <v>170</v>
      </c>
      <c r="D29" s="16" t="s">
        <v>171</v>
      </c>
    </row>
    <row r="30" spans="1:4" x14ac:dyDescent="0.2">
      <c r="A30" s="15" t="s">
        <v>172</v>
      </c>
      <c r="B30" s="15"/>
      <c r="C30" s="15"/>
      <c r="D30" s="15"/>
    </row>
    <row r="31" spans="1:4" x14ac:dyDescent="0.2">
      <c r="A31" s="9" t="s">
        <v>173</v>
      </c>
      <c r="B31" s="26">
        <v>0.05</v>
      </c>
      <c r="C31" s="7" t="s">
        <v>174</v>
      </c>
      <c r="D31" s="16" t="s">
        <v>175</v>
      </c>
    </row>
    <row r="32" spans="1:4" x14ac:dyDescent="0.2">
      <c r="A32" s="9" t="s">
        <v>176</v>
      </c>
      <c r="B32" s="26">
        <v>0.01</v>
      </c>
      <c r="C32" s="7" t="s">
        <v>174</v>
      </c>
      <c r="D32" s="16" t="s">
        <v>177</v>
      </c>
    </row>
    <row r="33" spans="1:4" x14ac:dyDescent="0.2">
      <c r="A33" s="9" t="s">
        <v>178</v>
      </c>
      <c r="B33" s="26">
        <v>0.15</v>
      </c>
      <c r="C33" s="7" t="s">
        <v>179</v>
      </c>
      <c r="D33" s="16" t="s">
        <v>180</v>
      </c>
    </row>
    <row r="34" spans="1:4" x14ac:dyDescent="0.2">
      <c r="A34" s="9" t="s">
        <v>181</v>
      </c>
      <c r="B34" s="10">
        <v>55000</v>
      </c>
      <c r="C34" s="7" t="s">
        <v>75</v>
      </c>
      <c r="D34" s="16" t="s">
        <v>182</v>
      </c>
    </row>
    <row r="35" spans="1:4" x14ac:dyDescent="0.2">
      <c r="A35" s="9" t="s">
        <v>183</v>
      </c>
      <c r="B35" s="26">
        <v>1.4999999999999999E-2</v>
      </c>
      <c r="C35" s="7" t="s">
        <v>170</v>
      </c>
      <c r="D35" s="16" t="s">
        <v>184</v>
      </c>
    </row>
    <row r="36" spans="1:4" x14ac:dyDescent="0.2">
      <c r="A36" s="15" t="s">
        <v>185</v>
      </c>
      <c r="B36" s="15"/>
      <c r="C36" s="15"/>
      <c r="D36" s="15"/>
    </row>
    <row r="37" spans="1:4" x14ac:dyDescent="0.2">
      <c r="A37" s="9" t="s">
        <v>186</v>
      </c>
      <c r="B37" s="26">
        <v>0.14499999999999999</v>
      </c>
      <c r="C37" s="7" t="s">
        <v>187</v>
      </c>
      <c r="D37" s="16" t="s">
        <v>188</v>
      </c>
    </row>
    <row r="38" spans="1:4" x14ac:dyDescent="0.2">
      <c r="A38" s="9" t="s">
        <v>189</v>
      </c>
      <c r="B38" s="26">
        <v>0.03</v>
      </c>
      <c r="C38" s="7" t="s">
        <v>187</v>
      </c>
      <c r="D38" s="16" t="s">
        <v>190</v>
      </c>
    </row>
    <row r="39" spans="1:4" x14ac:dyDescent="0.2">
      <c r="A39" s="9" t="s">
        <v>191</v>
      </c>
      <c r="B39" s="26">
        <v>0.09</v>
      </c>
      <c r="C39" s="7" t="s">
        <v>187</v>
      </c>
      <c r="D39" s="16" t="s">
        <v>192</v>
      </c>
    </row>
    <row r="40" spans="1:4" x14ac:dyDescent="0.2">
      <c r="A40" s="9" t="s">
        <v>193</v>
      </c>
      <c r="B40" s="10">
        <v>400</v>
      </c>
      <c r="C40" s="7" t="s">
        <v>194</v>
      </c>
      <c r="D40" s="16" t="s">
        <v>195</v>
      </c>
    </row>
    <row r="41" spans="1:4" x14ac:dyDescent="0.2">
      <c r="A41" s="9" t="s">
        <v>196</v>
      </c>
      <c r="B41" s="10">
        <v>251</v>
      </c>
      <c r="C41" s="7" t="s">
        <v>197</v>
      </c>
      <c r="D41" s="16" t="s">
        <v>198</v>
      </c>
    </row>
    <row r="42" spans="1:4" x14ac:dyDescent="0.2">
      <c r="A42" s="9" t="s">
        <v>199</v>
      </c>
      <c r="B42" s="10">
        <v>201</v>
      </c>
      <c r="C42" s="7" t="s">
        <v>197</v>
      </c>
      <c r="D42" s="16" t="s">
        <v>200</v>
      </c>
    </row>
    <row r="43" spans="1:4" x14ac:dyDescent="0.2">
      <c r="A43" s="9" t="s">
        <v>201</v>
      </c>
      <c r="B43" s="10">
        <v>40</v>
      </c>
      <c r="C43" s="7" t="s">
        <v>202</v>
      </c>
      <c r="D43" s="16" t="s">
        <v>203</v>
      </c>
    </row>
    <row r="44" spans="1:4" x14ac:dyDescent="0.2">
      <c r="A44" s="9" t="s">
        <v>204</v>
      </c>
      <c r="B44" s="10">
        <v>325</v>
      </c>
      <c r="C44" s="7" t="s">
        <v>205</v>
      </c>
      <c r="D44" s="16" t="s">
        <v>206</v>
      </c>
    </row>
    <row r="45" spans="1:4" x14ac:dyDescent="0.2">
      <c r="A45" s="15" t="s">
        <v>207</v>
      </c>
      <c r="B45" s="15"/>
      <c r="C45" s="15"/>
      <c r="D45" s="15"/>
    </row>
    <row r="46" spans="1:4" x14ac:dyDescent="0.2">
      <c r="A46" s="9" t="s">
        <v>208</v>
      </c>
      <c r="B46" s="25">
        <v>0.25800000000000001</v>
      </c>
      <c r="C46" s="7" t="s">
        <v>209</v>
      </c>
      <c r="D46" s="16" t="s">
        <v>210</v>
      </c>
    </row>
    <row r="47" spans="1:4" x14ac:dyDescent="0.2">
      <c r="A47" s="9" t="s">
        <v>211</v>
      </c>
      <c r="B47" s="26">
        <v>1.4999999999999999E-2</v>
      </c>
      <c r="C47" s="7" t="s">
        <v>170</v>
      </c>
      <c r="D47" s="16" t="s">
        <v>203</v>
      </c>
    </row>
    <row r="48" spans="1:4" x14ac:dyDescent="0.2">
      <c r="A48" s="9" t="s">
        <v>212</v>
      </c>
      <c r="B48" s="26">
        <v>1.4999999999999999E-2</v>
      </c>
      <c r="C48" s="7" t="s">
        <v>213</v>
      </c>
      <c r="D48" s="16" t="s">
        <v>214</v>
      </c>
    </row>
    <row r="49" spans="1:4" x14ac:dyDescent="0.2">
      <c r="A49" s="9" t="s">
        <v>215</v>
      </c>
      <c r="B49" s="10">
        <v>4800</v>
      </c>
      <c r="C49" s="7" t="s">
        <v>216</v>
      </c>
      <c r="D49" s="16" t="s">
        <v>217</v>
      </c>
    </row>
    <row r="50" spans="1:4" x14ac:dyDescent="0.2">
      <c r="A50" s="9" t="s">
        <v>218</v>
      </c>
      <c r="B50" s="10">
        <v>1800</v>
      </c>
      <c r="C50" s="7" t="s">
        <v>216</v>
      </c>
      <c r="D50" s="16" t="s">
        <v>217</v>
      </c>
    </row>
    <row r="51" spans="1:4" x14ac:dyDescent="0.2">
      <c r="A51" s="9" t="s">
        <v>219</v>
      </c>
      <c r="B51" s="10">
        <v>2400</v>
      </c>
      <c r="C51" s="7" t="s">
        <v>216</v>
      </c>
      <c r="D51" s="16" t="s">
        <v>217</v>
      </c>
    </row>
    <row r="52" spans="1:4" x14ac:dyDescent="0.2">
      <c r="A52" s="9" t="s">
        <v>220</v>
      </c>
      <c r="B52" s="10">
        <v>2500</v>
      </c>
      <c r="C52" s="7" t="s">
        <v>216</v>
      </c>
      <c r="D52" s="16" t="s">
        <v>221</v>
      </c>
    </row>
    <row r="53" spans="1:4" x14ac:dyDescent="0.2">
      <c r="A53" s="9" t="s">
        <v>222</v>
      </c>
      <c r="B53" s="10">
        <v>1600</v>
      </c>
      <c r="C53" s="7" t="s">
        <v>216</v>
      </c>
      <c r="D53" s="16" t="s">
        <v>223</v>
      </c>
    </row>
    <row r="54" spans="1:4" x14ac:dyDescent="0.2">
      <c r="A54" s="15" t="s">
        <v>224</v>
      </c>
      <c r="B54" s="15"/>
      <c r="C54" s="15"/>
      <c r="D54" s="15"/>
    </row>
    <row r="55" spans="1:4" x14ac:dyDescent="0.2">
      <c r="A55" s="9" t="s">
        <v>225</v>
      </c>
      <c r="B55" s="10">
        <v>150000</v>
      </c>
      <c r="C55" s="7" t="s">
        <v>75</v>
      </c>
      <c r="D55" s="16" t="s">
        <v>226</v>
      </c>
    </row>
    <row r="56" spans="1:4" x14ac:dyDescent="0.2">
      <c r="A56" s="9" t="s">
        <v>227</v>
      </c>
      <c r="B56" s="26">
        <v>0.06</v>
      </c>
      <c r="C56" s="7" t="s">
        <v>170</v>
      </c>
      <c r="D56" s="16" t="s">
        <v>228</v>
      </c>
    </row>
    <row r="57" spans="1:4" x14ac:dyDescent="0.2">
      <c r="A57" s="9" t="s">
        <v>229</v>
      </c>
      <c r="B57" s="10">
        <v>5</v>
      </c>
      <c r="C57" s="7" t="s">
        <v>95</v>
      </c>
      <c r="D57" s="16" t="s">
        <v>230</v>
      </c>
    </row>
    <row r="58" spans="1:4" x14ac:dyDescent="0.2">
      <c r="A58" s="9" t="s">
        <v>231</v>
      </c>
      <c r="B58" s="10">
        <v>3</v>
      </c>
      <c r="C58" s="7" t="s">
        <v>232</v>
      </c>
      <c r="D58" s="16" t="s">
        <v>233</v>
      </c>
    </row>
    <row r="59" spans="1:4" x14ac:dyDescent="0.2">
      <c r="A59" s="9" t="s">
        <v>234</v>
      </c>
      <c r="B59" s="26">
        <v>0.12</v>
      </c>
      <c r="C59" s="7" t="s">
        <v>170</v>
      </c>
      <c r="D59" s="16" t="s">
        <v>235</v>
      </c>
    </row>
  </sheetData>
  <pageMargins left="0.3888888888888889" right="0.3888888888888889" top="0.5" bottom="0.5" header="0.3" footer="0.3"/>
  <pageSetup paperSize="9" scale="81" fitToHeight="0" orientation="landscape" verticalDpi="0" r:id="rId1"/>
  <headerFooter>
    <oddFooter>&amp;C&amp;P /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30D9-04E0-4ADD-AC14-18B4792BCB29}">
  <sheetPr>
    <tabColor rgb="FF7030A0"/>
    <pageSetUpPr fitToPage="1"/>
  </sheetPr>
  <dimension ref="A1:F21"/>
  <sheetViews>
    <sheetView showGridLines="0" rightToLeft="1" zoomScale="90" zoomScaleNormal="90" workbookViewId="0"/>
  </sheetViews>
  <sheetFormatPr defaultRowHeight="12.75" x14ac:dyDescent="0.2"/>
  <cols>
    <col min="1" max="1" width="6.7109375" style="1" customWidth="1"/>
    <col min="2" max="2" width="30.7109375" style="1" customWidth="1"/>
    <col min="3" max="3" width="26.7109375" style="1" customWidth="1"/>
    <col min="4" max="4" width="14.7109375" style="1" customWidth="1"/>
    <col min="5" max="5" width="22.7109375" style="1" customWidth="1"/>
    <col min="6" max="6" width="80.7109375" style="1" customWidth="1"/>
    <col min="7" max="16384" width="9.140625" style="1"/>
  </cols>
  <sheetData>
    <row r="1" spans="1:6" ht="20.25" x14ac:dyDescent="0.2">
      <c r="A1" s="3" t="s">
        <v>236</v>
      </c>
    </row>
    <row r="2" spans="1:6" x14ac:dyDescent="0.2">
      <c r="A2" s="5" t="s">
        <v>237</v>
      </c>
    </row>
    <row r="4" spans="1:6" x14ac:dyDescent="0.2">
      <c r="A4" s="6" t="s">
        <v>4</v>
      </c>
      <c r="B4" s="6" t="s">
        <v>238</v>
      </c>
      <c r="C4" s="6" t="s">
        <v>239</v>
      </c>
      <c r="D4" s="6" t="s">
        <v>240</v>
      </c>
      <c r="E4" s="6" t="s">
        <v>241</v>
      </c>
      <c r="F4" s="6" t="s">
        <v>242</v>
      </c>
    </row>
    <row r="5" spans="1:6" ht="25.5" x14ac:dyDescent="0.2">
      <c r="A5" s="7">
        <v>1</v>
      </c>
      <c r="B5" s="9" t="s">
        <v>243</v>
      </c>
      <c r="C5" s="9" t="s">
        <v>244</v>
      </c>
      <c r="D5" s="10">
        <v>2000</v>
      </c>
      <c r="E5" s="9" t="s">
        <v>245</v>
      </c>
      <c r="F5" s="9" t="s">
        <v>246</v>
      </c>
    </row>
    <row r="6" spans="1:6" x14ac:dyDescent="0.2">
      <c r="A6" s="7">
        <v>2</v>
      </c>
      <c r="B6" s="9" t="s">
        <v>247</v>
      </c>
      <c r="C6" s="9" t="s">
        <v>248</v>
      </c>
      <c r="D6" s="10">
        <v>400</v>
      </c>
      <c r="E6" s="9" t="s">
        <v>245</v>
      </c>
      <c r="F6" s="9" t="s">
        <v>249</v>
      </c>
    </row>
    <row r="7" spans="1:6" x14ac:dyDescent="0.2">
      <c r="A7" s="7">
        <v>3</v>
      </c>
      <c r="B7" s="9" t="s">
        <v>250</v>
      </c>
      <c r="C7" s="9" t="s">
        <v>244</v>
      </c>
      <c r="D7" s="10">
        <v>5500</v>
      </c>
      <c r="E7" s="9" t="s">
        <v>251</v>
      </c>
      <c r="F7" s="9" t="s">
        <v>252</v>
      </c>
    </row>
    <row r="8" spans="1:6" x14ac:dyDescent="0.2">
      <c r="A8" s="7">
        <v>4</v>
      </c>
      <c r="B8" s="9" t="s">
        <v>253</v>
      </c>
      <c r="C8" s="9" t="s">
        <v>248</v>
      </c>
      <c r="D8" s="10">
        <v>400</v>
      </c>
      <c r="E8" s="9" t="s">
        <v>251</v>
      </c>
      <c r="F8" s="9" t="s">
        <v>254</v>
      </c>
    </row>
    <row r="9" spans="1:6" x14ac:dyDescent="0.2">
      <c r="A9" s="7">
        <v>5</v>
      </c>
      <c r="B9" s="9" t="s">
        <v>255</v>
      </c>
      <c r="C9" s="9" t="s">
        <v>256</v>
      </c>
      <c r="D9" s="10">
        <v>100</v>
      </c>
      <c r="E9" s="9" t="s">
        <v>251</v>
      </c>
      <c r="F9" s="9" t="s">
        <v>257</v>
      </c>
    </row>
    <row r="10" spans="1:6" x14ac:dyDescent="0.2">
      <c r="A10" s="29" t="s">
        <v>258</v>
      </c>
      <c r="B10" s="29"/>
      <c r="C10" s="29"/>
      <c r="D10" s="12">
        <f>SUM(D5:D9)</f>
        <v>8400</v>
      </c>
    </row>
    <row r="12" spans="1:6" x14ac:dyDescent="0.2">
      <c r="A12" s="15" t="s">
        <v>259</v>
      </c>
      <c r="B12" s="15"/>
      <c r="C12" s="15"/>
      <c r="D12" s="15"/>
      <c r="E12" s="15"/>
      <c r="F12" s="15"/>
    </row>
    <row r="13" spans="1:6" ht="25.5" x14ac:dyDescent="0.2">
      <c r="A13" s="6" t="s">
        <v>4</v>
      </c>
      <c r="B13" s="6" t="s">
        <v>260</v>
      </c>
      <c r="C13" s="6" t="s">
        <v>261</v>
      </c>
      <c r="D13" s="6" t="s">
        <v>262</v>
      </c>
      <c r="E13" s="6"/>
      <c r="F13" s="6"/>
    </row>
    <row r="14" spans="1:6" ht="25.5" x14ac:dyDescent="0.2">
      <c r="A14" s="7">
        <v>1</v>
      </c>
      <c r="B14" s="9" t="s">
        <v>263</v>
      </c>
      <c r="C14" s="9" t="s">
        <v>264</v>
      </c>
      <c r="D14" s="9"/>
      <c r="E14" s="9"/>
      <c r="F14" s="9" t="s">
        <v>265</v>
      </c>
    </row>
    <row r="15" spans="1:6" x14ac:dyDescent="0.2">
      <c r="A15" s="7">
        <v>2</v>
      </c>
      <c r="B15" s="9" t="s">
        <v>176</v>
      </c>
      <c r="C15" s="9" t="s">
        <v>266</v>
      </c>
      <c r="D15" s="9"/>
      <c r="E15" s="9"/>
      <c r="F15" s="9" t="s">
        <v>267</v>
      </c>
    </row>
    <row r="16" spans="1:6" ht="25.5" x14ac:dyDescent="0.2">
      <c r="A16" s="7">
        <v>3</v>
      </c>
      <c r="B16" s="9" t="s">
        <v>268</v>
      </c>
      <c r="C16" s="9" t="s">
        <v>266</v>
      </c>
      <c r="D16" s="9"/>
      <c r="E16" s="9"/>
      <c r="F16" s="9" t="s">
        <v>269</v>
      </c>
    </row>
    <row r="17" spans="1:6" ht="25.5" x14ac:dyDescent="0.2">
      <c r="A17" s="7">
        <v>4</v>
      </c>
      <c r="B17" s="9" t="s">
        <v>270</v>
      </c>
      <c r="C17" s="9" t="s">
        <v>271</v>
      </c>
      <c r="D17" s="9"/>
      <c r="E17" s="9"/>
      <c r="F17" s="9" t="s">
        <v>272</v>
      </c>
    </row>
    <row r="18" spans="1:6" x14ac:dyDescent="0.2">
      <c r="A18" s="7">
        <v>5</v>
      </c>
      <c r="B18" s="9" t="s">
        <v>178</v>
      </c>
      <c r="C18" s="9" t="s">
        <v>273</v>
      </c>
      <c r="D18" s="9"/>
      <c r="E18" s="9"/>
      <c r="F18" s="9" t="s">
        <v>274</v>
      </c>
    </row>
    <row r="19" spans="1:6" x14ac:dyDescent="0.2">
      <c r="A19" s="7">
        <v>6</v>
      </c>
      <c r="B19" s="9" t="s">
        <v>275</v>
      </c>
      <c r="C19" s="9" t="s">
        <v>276</v>
      </c>
      <c r="D19" s="9"/>
      <c r="E19" s="9"/>
      <c r="F19" s="9" t="s">
        <v>277</v>
      </c>
    </row>
    <row r="20" spans="1:6" ht="25.5" x14ac:dyDescent="0.2">
      <c r="A20" s="7">
        <v>7</v>
      </c>
      <c r="B20" s="9" t="s">
        <v>278</v>
      </c>
      <c r="C20" s="9" t="s">
        <v>279</v>
      </c>
      <c r="D20" s="9"/>
      <c r="E20" s="9"/>
      <c r="F20" s="9" t="s">
        <v>280</v>
      </c>
    </row>
    <row r="21" spans="1:6" ht="25.5" x14ac:dyDescent="0.2">
      <c r="A21" s="7">
        <v>8</v>
      </c>
      <c r="B21" s="9" t="s">
        <v>281</v>
      </c>
      <c r="C21" s="9" t="s">
        <v>282</v>
      </c>
      <c r="D21" s="9"/>
      <c r="E21" s="9"/>
      <c r="F21" s="9" t="s">
        <v>283</v>
      </c>
    </row>
  </sheetData>
  <pageMargins left="0.3888888888888889" right="0.3888888888888889" top="0.5" bottom="0.5" header="0.3" footer="0.3"/>
  <pageSetup paperSize="9" scale="77" fitToHeight="0" orientation="landscape" verticalDpi="0" r:id="rId1"/>
  <headerFooter>
    <oddFooter>&amp;C&amp;P /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6E112-56DB-4FEC-A55A-7EF9AF85BF6E}">
  <sheetPr>
    <tabColor rgb="FFC55A11"/>
    <pageSetUpPr fitToPage="1"/>
  </sheetPr>
  <dimension ref="A1:D35"/>
  <sheetViews>
    <sheetView showGridLines="0" rightToLeft="1" zoomScale="90" zoomScaleNormal="90" workbookViewId="0"/>
  </sheetViews>
  <sheetFormatPr defaultRowHeight="12.75" x14ac:dyDescent="0.2"/>
  <cols>
    <col min="1" max="1" width="52.7109375" style="1" customWidth="1"/>
    <col min="2" max="3" width="18.7109375" style="1" customWidth="1"/>
    <col min="4" max="4" width="80.7109375" style="1" customWidth="1"/>
    <col min="5" max="16384" width="9.140625" style="1"/>
  </cols>
  <sheetData>
    <row r="1" spans="1:4" ht="20.25" x14ac:dyDescent="0.2">
      <c r="A1" s="3" t="s">
        <v>284</v>
      </c>
    </row>
    <row r="2" spans="1:4" x14ac:dyDescent="0.2">
      <c r="A2" s="5" t="s">
        <v>285</v>
      </c>
    </row>
    <row r="4" spans="1:4" x14ac:dyDescent="0.2">
      <c r="A4" s="6" t="s">
        <v>107</v>
      </c>
      <c r="B4" s="6" t="s">
        <v>56</v>
      </c>
      <c r="C4" s="6" t="s">
        <v>57</v>
      </c>
      <c r="D4" s="6" t="s">
        <v>286</v>
      </c>
    </row>
    <row r="5" spans="1:4" x14ac:dyDescent="0.2">
      <c r="A5" s="15" t="s">
        <v>287</v>
      </c>
      <c r="B5" s="15"/>
      <c r="C5" s="15"/>
      <c r="D5" s="15"/>
    </row>
    <row r="6" spans="1:4" x14ac:dyDescent="0.2">
      <c r="A6" s="9" t="s">
        <v>288</v>
      </c>
      <c r="B6" s="11">
        <v>353538</v>
      </c>
      <c r="C6" s="7" t="s">
        <v>289</v>
      </c>
      <c r="D6" s="16" t="s">
        <v>290</v>
      </c>
    </row>
    <row r="7" spans="1:4" x14ac:dyDescent="0.2">
      <c r="A7" s="9" t="s">
        <v>291</v>
      </c>
      <c r="B7" s="11">
        <v>387995</v>
      </c>
      <c r="C7" s="7" t="s">
        <v>289</v>
      </c>
      <c r="D7" s="16" t="s">
        <v>292</v>
      </c>
    </row>
    <row r="8" spans="1:4" x14ac:dyDescent="0.2">
      <c r="A8" s="9" t="s">
        <v>293</v>
      </c>
      <c r="B8" s="11">
        <v>15000000</v>
      </c>
      <c r="C8" s="7" t="s">
        <v>75</v>
      </c>
      <c r="D8" s="16" t="s">
        <v>294</v>
      </c>
    </row>
    <row r="9" spans="1:4" x14ac:dyDescent="0.2">
      <c r="A9" s="9" t="s">
        <v>295</v>
      </c>
      <c r="B9" s="30">
        <f>B8/B7</f>
        <v>38.660292014072347</v>
      </c>
      <c r="C9" s="7" t="s">
        <v>156</v>
      </c>
      <c r="D9" s="16" t="s">
        <v>296</v>
      </c>
    </row>
    <row r="10" spans="1:4" x14ac:dyDescent="0.2">
      <c r="A10" s="9" t="s">
        <v>297</v>
      </c>
      <c r="B10" s="11">
        <v>29</v>
      </c>
      <c r="C10" s="7" t="s">
        <v>298</v>
      </c>
      <c r="D10" s="16" t="s">
        <v>299</v>
      </c>
    </row>
    <row r="11" spans="1:4" x14ac:dyDescent="0.2">
      <c r="A11" s="9" t="s">
        <v>300</v>
      </c>
      <c r="B11" s="11">
        <f>B6/B10</f>
        <v>12190.965517241379</v>
      </c>
      <c r="C11" s="7" t="s">
        <v>301</v>
      </c>
      <c r="D11" s="16" t="s">
        <v>302</v>
      </c>
    </row>
    <row r="12" spans="1:4" x14ac:dyDescent="0.2">
      <c r="A12" s="9" t="s">
        <v>303</v>
      </c>
      <c r="B12" s="11">
        <v>400000</v>
      </c>
      <c r="C12" s="7" t="s">
        <v>301</v>
      </c>
      <c r="D12" s="16" t="s">
        <v>304</v>
      </c>
    </row>
    <row r="13" spans="1:4" x14ac:dyDescent="0.2">
      <c r="A13" s="9" t="s">
        <v>305</v>
      </c>
      <c r="B13" s="17">
        <v>0.36</v>
      </c>
      <c r="C13" s="7" t="s">
        <v>64</v>
      </c>
      <c r="D13" s="16" t="s">
        <v>306</v>
      </c>
    </row>
    <row r="14" spans="1:4" x14ac:dyDescent="0.2">
      <c r="A14" s="15" t="s">
        <v>307</v>
      </c>
      <c r="B14" s="15"/>
      <c r="C14" s="15"/>
      <c r="D14" s="15"/>
    </row>
    <row r="15" spans="1:4" x14ac:dyDescent="0.2">
      <c r="A15" s="9" t="s">
        <v>308</v>
      </c>
      <c r="B15" s="31">
        <v>205</v>
      </c>
      <c r="C15" s="7" t="s">
        <v>149</v>
      </c>
      <c r="D15" s="16" t="s">
        <v>309</v>
      </c>
    </row>
    <row r="16" spans="1:4" x14ac:dyDescent="0.2">
      <c r="A16" s="9" t="s">
        <v>310</v>
      </c>
      <c r="B16" s="31">
        <v>257.5</v>
      </c>
      <c r="C16" s="7" t="s">
        <v>149</v>
      </c>
      <c r="D16" s="16" t="s">
        <v>311</v>
      </c>
    </row>
    <row r="17" spans="1:4" x14ac:dyDescent="0.2">
      <c r="A17" s="9" t="s">
        <v>312</v>
      </c>
      <c r="B17" s="31">
        <v>267.5</v>
      </c>
      <c r="C17" s="7" t="s">
        <v>149</v>
      </c>
      <c r="D17" s="16" t="s">
        <v>313</v>
      </c>
    </row>
    <row r="18" spans="1:4" x14ac:dyDescent="0.2">
      <c r="A18" s="9" t="s">
        <v>314</v>
      </c>
      <c r="B18" s="31">
        <v>340</v>
      </c>
      <c r="C18" s="7" t="s">
        <v>149</v>
      </c>
      <c r="D18" s="16" t="s">
        <v>315</v>
      </c>
    </row>
    <row r="19" spans="1:4" x14ac:dyDescent="0.2">
      <c r="A19" s="15" t="s">
        <v>316</v>
      </c>
      <c r="B19" s="15"/>
      <c r="C19" s="15"/>
      <c r="D19" s="15"/>
    </row>
    <row r="20" spans="1:4" x14ac:dyDescent="0.2">
      <c r="A20" s="9" t="s">
        <v>317</v>
      </c>
      <c r="B20" s="18">
        <f>CifBench</f>
        <v>200</v>
      </c>
      <c r="C20" s="7" t="s">
        <v>149</v>
      </c>
      <c r="D20" s="16" t="s">
        <v>318</v>
      </c>
    </row>
    <row r="21" spans="1:4" x14ac:dyDescent="0.2">
      <c r="A21" s="9" t="s">
        <v>319</v>
      </c>
      <c r="B21" s="18">
        <f>B20/(BenchGrade*100)</f>
        <v>6.4516129032258061</v>
      </c>
      <c r="C21" s="7" t="s">
        <v>320</v>
      </c>
      <c r="D21" s="16" t="s">
        <v>321</v>
      </c>
    </row>
    <row r="22" spans="1:4" x14ac:dyDescent="0.2">
      <c r="A22" s="9" t="s">
        <v>322</v>
      </c>
      <c r="B22" s="17">
        <f>OreGrade</f>
        <v>0.32</v>
      </c>
      <c r="C22" s="7" t="s">
        <v>64</v>
      </c>
      <c r="D22" s="16" t="s">
        <v>318</v>
      </c>
    </row>
    <row r="23" spans="1:4" x14ac:dyDescent="0.2">
      <c r="A23" s="9" t="s">
        <v>323</v>
      </c>
      <c r="B23" s="18">
        <f>B21*B22*100</f>
        <v>206.45161290322579</v>
      </c>
      <c r="C23" s="7" t="s">
        <v>149</v>
      </c>
      <c r="D23" s="16"/>
    </row>
    <row r="24" spans="1:4" x14ac:dyDescent="0.2">
      <c r="A24" s="9" t="s">
        <v>323</v>
      </c>
      <c r="B24" s="18">
        <f>B23*FxRate</f>
        <v>79.380645161290317</v>
      </c>
      <c r="C24" s="7" t="s">
        <v>156</v>
      </c>
      <c r="D24" s="16"/>
    </row>
    <row r="25" spans="1:4" x14ac:dyDescent="0.2">
      <c r="A25" s="9" t="s">
        <v>324</v>
      </c>
      <c r="B25" s="18">
        <f>SeaFreight*FxRate</f>
        <v>9.2279999999999998</v>
      </c>
      <c r="C25" s="7" t="s">
        <v>156</v>
      </c>
      <c r="D25" s="16"/>
    </row>
    <row r="26" spans="1:4" x14ac:dyDescent="0.2">
      <c r="A26" s="9" t="s">
        <v>325</v>
      </c>
      <c r="B26" s="18">
        <f>PortCost</f>
        <v>2.5</v>
      </c>
      <c r="C26" s="7" t="s">
        <v>156</v>
      </c>
      <c r="D26" s="16"/>
    </row>
    <row r="27" spans="1:4" x14ac:dyDescent="0.2">
      <c r="A27" s="9" t="s">
        <v>326</v>
      </c>
      <c r="B27" s="18">
        <f>B24*TraderM</f>
        <v>7.9380645161290317</v>
      </c>
      <c r="C27" s="7" t="s">
        <v>156</v>
      </c>
      <c r="D27" s="16"/>
    </row>
    <row r="28" spans="1:4" x14ac:dyDescent="0.2">
      <c r="A28" s="32" t="s">
        <v>327</v>
      </c>
      <c r="B28" s="33">
        <f>B24-B25-B26-B27</f>
        <v>59.714580645161291</v>
      </c>
      <c r="C28" s="7" t="s">
        <v>156</v>
      </c>
      <c r="D28" s="16"/>
    </row>
    <row r="29" spans="1:4" x14ac:dyDescent="0.2">
      <c r="A29" s="9" t="s">
        <v>328</v>
      </c>
      <c r="B29" s="18">
        <f>HaulDist*TruckRate</f>
        <v>6</v>
      </c>
      <c r="C29" s="7" t="s">
        <v>156</v>
      </c>
      <c r="D29" s="16"/>
    </row>
    <row r="30" spans="1:4" x14ac:dyDescent="0.2">
      <c r="A30" s="32" t="s">
        <v>329</v>
      </c>
      <c r="B30" s="33">
        <f>B28-B29</f>
        <v>53.714580645161291</v>
      </c>
      <c r="C30" s="7" t="s">
        <v>156</v>
      </c>
      <c r="D30" s="16"/>
    </row>
    <row r="31" spans="1:4" x14ac:dyDescent="0.2">
      <c r="A31" s="9" t="s">
        <v>330</v>
      </c>
      <c r="B31" s="18">
        <f>B30*PriceDisc</f>
        <v>6.4457496774193546</v>
      </c>
      <c r="C31" s="7" t="s">
        <v>156</v>
      </c>
      <c r="D31" s="16"/>
    </row>
    <row r="32" spans="1:4" x14ac:dyDescent="0.2">
      <c r="A32" s="32" t="s">
        <v>331</v>
      </c>
      <c r="B32" s="30">
        <f>B30-B31</f>
        <v>47.268830967741934</v>
      </c>
      <c r="C32" s="7" t="s">
        <v>156</v>
      </c>
      <c r="D32" s="16" t="s">
        <v>332</v>
      </c>
    </row>
    <row r="33" spans="1:4" x14ac:dyDescent="0.2">
      <c r="A33" s="15" t="s">
        <v>333</v>
      </c>
      <c r="B33" s="15"/>
      <c r="C33" s="15"/>
      <c r="D33" s="15"/>
    </row>
    <row r="34" spans="1:4" ht="24" x14ac:dyDescent="0.2">
      <c r="A34" s="9" t="s">
        <v>334</v>
      </c>
      <c r="B34" s="34">
        <f>SalePrice/NatAvgPrice</f>
        <v>1.2226713380886021</v>
      </c>
      <c r="C34" s="7" t="s">
        <v>335</v>
      </c>
      <c r="D34" s="16" t="s">
        <v>336</v>
      </c>
    </row>
    <row r="35" spans="1:4" ht="25.5" x14ac:dyDescent="0.2">
      <c r="A35" s="9" t="s">
        <v>337</v>
      </c>
      <c r="B35" s="35" t="str">
        <f>IF(OreGrade&gt;=MinExportGrade,"نعم","لا")</f>
        <v>لا</v>
      </c>
      <c r="C35" s="7" t="s">
        <v>112</v>
      </c>
      <c r="D35" s="9" t="str">
        <f>IF(OreGrade&gt;=MinExportGrade,"الدرجة مطابقة لشرط التصدير (36% فأكثر).","تنبيه: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f>
        <v>تنبيه: الدرجة أقل من 36% — لا يُسمح بتصدير الخام غير المعالج. يُباع محلياً (مصانع المعالجة/الفيروكروم) أو يُعالَج ويُصدَّر عبر شركة متاجرة المعادن بموافقة الوزارة، وقد ينخفض السعر المحقق عن المحتسب أعلاه.</v>
      </c>
    </row>
  </sheetData>
  <pageMargins left="0.3888888888888889" right="0.3888888888888889" top="0.5" bottom="0.5" header="0.3" footer="0.3"/>
  <pageSetup paperSize="9" scale="83" fitToHeight="0" orientation="landscape" verticalDpi="0" r:id="rId1"/>
  <headerFooter>
    <oddFooter>&amp;C&amp;P /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9901B8-8594-476F-8EEF-4C63AFDAAC23}">
  <sheetPr>
    <tabColor rgb="FF548235"/>
    <pageSetUpPr fitToPage="1"/>
  </sheetPr>
  <dimension ref="A1:N29"/>
  <sheetViews>
    <sheetView showGridLines="0" rightToLeft="1" zoomScale="90" zoomScaleNormal="90" workbookViewId="0">
      <pane xSplit="2" ySplit="14" topLeftCell="C15" activePane="bottomRight" state="frozen"/>
      <selection pane="topRight" activeCell="C1" sqref="C1"/>
      <selection pane="bottomLeft" activeCell="A15" sqref="A1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338</v>
      </c>
    </row>
    <row r="2" spans="1:14" x14ac:dyDescent="0.2">
      <c r="A2" s="5" t="s">
        <v>339</v>
      </c>
    </row>
    <row r="4" spans="1:14" x14ac:dyDescent="0.2">
      <c r="A4" s="6" t="s">
        <v>107</v>
      </c>
      <c r="B4" s="6" t="s">
        <v>57</v>
      </c>
      <c r="C4" s="6" t="s">
        <v>56</v>
      </c>
      <c r="D4" s="6" t="s">
        <v>58</v>
      </c>
      <c r="E4" s="6"/>
      <c r="F4" s="6"/>
      <c r="G4" s="6"/>
      <c r="H4" s="6"/>
    </row>
    <row r="5" spans="1:14" x14ac:dyDescent="0.2">
      <c r="A5" s="9" t="s">
        <v>340</v>
      </c>
      <c r="B5" s="7" t="s">
        <v>341</v>
      </c>
      <c r="C5" s="11">
        <f>'الأصول والإهلاك'!B5</f>
        <v>2</v>
      </c>
      <c r="D5" s="5" t="s">
        <v>342</v>
      </c>
    </row>
    <row r="6" spans="1:14" x14ac:dyDescent="0.2">
      <c r="A6" s="9" t="s">
        <v>343</v>
      </c>
      <c r="B6" s="7" t="s">
        <v>140</v>
      </c>
      <c r="C6" s="11">
        <f>WorkDays*ShiftHrs*AvailFactor</f>
        <v>1800</v>
      </c>
      <c r="D6" s="5" t="s">
        <v>344</v>
      </c>
    </row>
    <row r="7" spans="1:14" x14ac:dyDescent="0.2">
      <c r="A7" s="9" t="s">
        <v>345</v>
      </c>
      <c r="B7" s="7" t="s">
        <v>289</v>
      </c>
      <c r="C7" s="11">
        <f>C5*BrkProd*OpHours</f>
        <v>126000</v>
      </c>
      <c r="D7" s="5" t="s">
        <v>346</v>
      </c>
    </row>
    <row r="8" spans="1:14" x14ac:dyDescent="0.2">
      <c r="A8" s="9" t="s">
        <v>347</v>
      </c>
      <c r="B8" s="7" t="s">
        <v>289</v>
      </c>
      <c r="C8" s="11">
        <f>RockCap/(1+StripRatio)</f>
        <v>14000</v>
      </c>
      <c r="D8" s="5" t="s">
        <v>348</v>
      </c>
    </row>
    <row r="9" spans="1:14" x14ac:dyDescent="0.2">
      <c r="A9" s="9" t="s">
        <v>349</v>
      </c>
      <c r="B9" s="7" t="s">
        <v>289</v>
      </c>
      <c r="C9" s="11">
        <f>RockCap-ROMCap</f>
        <v>112000</v>
      </c>
    </row>
    <row r="10" spans="1:14" x14ac:dyDescent="0.2">
      <c r="A10" s="32" t="s">
        <v>350</v>
      </c>
      <c r="B10" s="7" t="s">
        <v>289</v>
      </c>
      <c r="C10" s="13">
        <f>ROMCap*SortRecov</f>
        <v>11900</v>
      </c>
      <c r="D10" s="5" t="s">
        <v>351</v>
      </c>
    </row>
    <row r="11" spans="1:14" x14ac:dyDescent="0.2">
      <c r="A11" s="9" t="s">
        <v>352</v>
      </c>
      <c r="B11" s="7" t="s">
        <v>289</v>
      </c>
      <c r="C11" s="11">
        <f>NatAvgOutput</f>
        <v>12190.965517241379</v>
      </c>
      <c r="D11" s="5" t="s">
        <v>353</v>
      </c>
    </row>
    <row r="12" spans="1:14" x14ac:dyDescent="0.2">
      <c r="A12" s="9" t="s">
        <v>354</v>
      </c>
      <c r="B12" s="7" t="s">
        <v>95</v>
      </c>
      <c r="C12" s="31">
        <f>OreReserve/ROMCap</f>
        <v>10</v>
      </c>
      <c r="D12" s="5" t="s">
        <v>355</v>
      </c>
    </row>
    <row r="14" spans="1:14" x14ac:dyDescent="0.2">
      <c r="A14" s="6" t="s">
        <v>356</v>
      </c>
      <c r="B14" s="6" t="s">
        <v>57</v>
      </c>
      <c r="C14" s="36">
        <v>0</v>
      </c>
      <c r="D14" s="37">
        <v>1</v>
      </c>
      <c r="E14" s="37">
        <v>2</v>
      </c>
      <c r="F14" s="37">
        <v>3</v>
      </c>
      <c r="G14" s="37">
        <v>4</v>
      </c>
      <c r="H14" s="37">
        <v>5</v>
      </c>
      <c r="I14" s="37">
        <v>6</v>
      </c>
      <c r="J14" s="37">
        <v>7</v>
      </c>
      <c r="K14" s="37">
        <v>8</v>
      </c>
      <c r="L14" s="37">
        <v>9</v>
      </c>
      <c r="M14" s="37">
        <v>10</v>
      </c>
      <c r="N14" s="6" t="s">
        <v>357</v>
      </c>
    </row>
    <row r="15" spans="1:14" x14ac:dyDescent="0.2">
      <c r="A15" s="9" t="s">
        <v>358</v>
      </c>
      <c r="B15" s="7" t="s">
        <v>72</v>
      </c>
      <c r="C15" s="17"/>
      <c r="D15" s="38">
        <v>0.7</v>
      </c>
      <c r="E15" s="38">
        <v>0.9</v>
      </c>
      <c r="F15" s="38">
        <v>1</v>
      </c>
      <c r="G15" s="38">
        <v>1</v>
      </c>
      <c r="H15" s="38">
        <v>1</v>
      </c>
      <c r="I15" s="38">
        <v>1</v>
      </c>
      <c r="J15" s="38">
        <v>1</v>
      </c>
      <c r="K15" s="38">
        <v>1</v>
      </c>
      <c r="L15" s="38">
        <v>1</v>
      </c>
      <c r="M15" s="38">
        <v>1</v>
      </c>
      <c r="N15" s="11"/>
    </row>
    <row r="16" spans="1:14" x14ac:dyDescent="0.2">
      <c r="A16" s="9" t="s">
        <v>359</v>
      </c>
      <c r="B16" s="7" t="s">
        <v>289</v>
      </c>
      <c r="C16" s="11"/>
      <c r="D16" s="11">
        <f>RockCap*D15</f>
        <v>88200</v>
      </c>
      <c r="E16" s="11">
        <f>RockCap*E15</f>
        <v>113400</v>
      </c>
      <c r="F16" s="11">
        <f>RockCap*F15</f>
        <v>126000</v>
      </c>
      <c r="G16" s="11">
        <f>RockCap*G15</f>
        <v>126000</v>
      </c>
      <c r="H16" s="11">
        <f>RockCap*H15</f>
        <v>126000</v>
      </c>
      <c r="I16" s="11">
        <f>RockCap*I15</f>
        <v>126000</v>
      </c>
      <c r="J16" s="11">
        <f>RockCap*J15</f>
        <v>126000</v>
      </c>
      <c r="K16" s="11">
        <f>RockCap*K15</f>
        <v>126000</v>
      </c>
      <c r="L16" s="11">
        <f>RockCap*L15</f>
        <v>126000</v>
      </c>
      <c r="M16" s="11">
        <f>RockCap*M15</f>
        <v>126000</v>
      </c>
      <c r="N16" s="12">
        <f>SUM(D16:M16)</f>
        <v>1209600</v>
      </c>
    </row>
    <row r="17" spans="1:14" x14ac:dyDescent="0.2">
      <c r="A17" s="9" t="s">
        <v>347</v>
      </c>
      <c r="B17" s="7" t="s">
        <v>289</v>
      </c>
      <c r="C17" s="11"/>
      <c r="D17" s="11">
        <f>D16/(1+StripRatio)</f>
        <v>9800</v>
      </c>
      <c r="E17" s="11">
        <f>E16/(1+StripRatio)</f>
        <v>12600</v>
      </c>
      <c r="F17" s="11">
        <f>F16/(1+StripRatio)</f>
        <v>14000</v>
      </c>
      <c r="G17" s="11">
        <f>G16/(1+StripRatio)</f>
        <v>14000</v>
      </c>
      <c r="H17" s="11">
        <f>H16/(1+StripRatio)</f>
        <v>14000</v>
      </c>
      <c r="I17" s="11">
        <f>I16/(1+StripRatio)</f>
        <v>14000</v>
      </c>
      <c r="J17" s="11">
        <f>J16/(1+StripRatio)</f>
        <v>14000</v>
      </c>
      <c r="K17" s="11">
        <f>K16/(1+StripRatio)</f>
        <v>14000</v>
      </c>
      <c r="L17" s="11">
        <f>L16/(1+StripRatio)</f>
        <v>14000</v>
      </c>
      <c r="M17" s="11">
        <f>M16/(1+StripRatio)</f>
        <v>14000</v>
      </c>
      <c r="N17" s="12">
        <f>SUM(D17:M17)</f>
        <v>134400</v>
      </c>
    </row>
    <row r="18" spans="1:14" x14ac:dyDescent="0.2">
      <c r="A18" s="32" t="s">
        <v>360</v>
      </c>
      <c r="B18" s="7" t="s">
        <v>289</v>
      </c>
      <c r="C18" s="11"/>
      <c r="D18" s="13">
        <f>D17*SortRecov*F_Vol</f>
        <v>8330</v>
      </c>
      <c r="E18" s="13">
        <f>E17*SortRecov*F_Vol</f>
        <v>10710</v>
      </c>
      <c r="F18" s="13">
        <f>F17*SortRecov*F_Vol</f>
        <v>11900</v>
      </c>
      <c r="G18" s="13">
        <f>G17*SortRecov*F_Vol</f>
        <v>11900</v>
      </c>
      <c r="H18" s="13">
        <f>H17*SortRecov*F_Vol</f>
        <v>11900</v>
      </c>
      <c r="I18" s="13">
        <f>I17*SortRecov*F_Vol</f>
        <v>11900</v>
      </c>
      <c r="J18" s="13">
        <f>J17*SortRecov*F_Vol</f>
        <v>11900</v>
      </c>
      <c r="K18" s="13">
        <f>K17*SortRecov*F_Vol</f>
        <v>11900</v>
      </c>
      <c r="L18" s="13">
        <f>L17*SortRecov*F_Vol</f>
        <v>11900</v>
      </c>
      <c r="M18" s="13">
        <f>M17*SortRecov*F_Vol</f>
        <v>11900</v>
      </c>
      <c r="N18" s="12">
        <f>SUM(D18:M18)</f>
        <v>114240</v>
      </c>
    </row>
    <row r="19" spans="1:14" x14ac:dyDescent="0.2">
      <c r="A19" s="9" t="s">
        <v>361</v>
      </c>
      <c r="B19" s="7" t="s">
        <v>289</v>
      </c>
      <c r="C19" s="11"/>
      <c r="D19" s="11">
        <f>SUM($D$17:D17)</f>
        <v>9800</v>
      </c>
      <c r="E19" s="11">
        <f>SUM($D$17:E17)</f>
        <v>22400</v>
      </c>
      <c r="F19" s="11">
        <f>SUM($D$17:F17)</f>
        <v>36400</v>
      </c>
      <c r="G19" s="11">
        <f>SUM($D$17:G17)</f>
        <v>50400</v>
      </c>
      <c r="H19" s="11">
        <f>SUM($D$17:H17)</f>
        <v>64400</v>
      </c>
      <c r="I19" s="11">
        <f>SUM($D$17:I17)</f>
        <v>78400</v>
      </c>
      <c r="J19" s="11">
        <f>SUM($D$17:J17)</f>
        <v>92400</v>
      </c>
      <c r="K19" s="11">
        <f>SUM($D$17:K17)</f>
        <v>106400</v>
      </c>
      <c r="L19" s="11">
        <f>SUM($D$17:L17)</f>
        <v>120400</v>
      </c>
      <c r="M19" s="11">
        <f>SUM($D$17:M17)</f>
        <v>134400</v>
      </c>
      <c r="N19" s="11"/>
    </row>
    <row r="20" spans="1:14" x14ac:dyDescent="0.2">
      <c r="A20" s="9" t="s">
        <v>362</v>
      </c>
      <c r="B20" s="7" t="s">
        <v>289</v>
      </c>
      <c r="C20" s="11">
        <f>OreReserve</f>
        <v>140000</v>
      </c>
      <c r="D20" s="11">
        <f>OreReserve-D19</f>
        <v>130200</v>
      </c>
      <c r="E20" s="11">
        <f>OreReserve-E19</f>
        <v>117600</v>
      </c>
      <c r="F20" s="11">
        <f>OreReserve-F19</f>
        <v>103600</v>
      </c>
      <c r="G20" s="11">
        <f>OreReserve-G19</f>
        <v>89600</v>
      </c>
      <c r="H20" s="11">
        <f>OreReserve-H19</f>
        <v>75600</v>
      </c>
      <c r="I20" s="11">
        <f>OreReserve-I19</f>
        <v>61600</v>
      </c>
      <c r="J20" s="11">
        <f>OreReserve-J19</f>
        <v>47600</v>
      </c>
      <c r="K20" s="11">
        <f>OreReserve-K19</f>
        <v>33600</v>
      </c>
      <c r="L20" s="11">
        <f>OreReserve-L19</f>
        <v>19600</v>
      </c>
      <c r="M20" s="11">
        <f>OreReserve-M19</f>
        <v>5600</v>
      </c>
      <c r="N20" s="11"/>
    </row>
    <row r="21" spans="1:14" x14ac:dyDescent="0.2">
      <c r="A21" s="32" t="s">
        <v>363</v>
      </c>
      <c r="B21" s="21" t="str">
        <f>IF($M$20&gt;=0,"الاحتياطي المفترض كافٍ لعشر سنوات تشغيل","تنبيه: الاحتياطي المفترض لا يكفي لمدة الدراسة — يُراجع برنامج الإنتاج أو الاحتياطي")</f>
        <v>الاحتياطي المفترض كافٍ لعشر سنوات تشغيل</v>
      </c>
      <c r="C21" s="22"/>
      <c r="D21" s="22"/>
      <c r="E21" s="22"/>
      <c r="F21" s="22"/>
      <c r="G21" s="22"/>
      <c r="H21" s="22"/>
      <c r="I21" s="22"/>
      <c r="J21" s="22"/>
      <c r="K21" s="22"/>
      <c r="L21" s="22"/>
      <c r="M21" s="22"/>
      <c r="N21" s="22"/>
    </row>
    <row r="23" spans="1:14" x14ac:dyDescent="0.2">
      <c r="A23" s="15" t="s">
        <v>364</v>
      </c>
      <c r="B23" s="15"/>
      <c r="C23" s="15"/>
      <c r="D23" s="15"/>
      <c r="E23" s="15"/>
      <c r="F23" s="15"/>
      <c r="G23" s="15"/>
      <c r="H23" s="15"/>
      <c r="I23" s="15"/>
      <c r="J23" s="15"/>
      <c r="K23" s="15"/>
      <c r="L23" s="15"/>
      <c r="M23" s="15"/>
      <c r="N23" s="15"/>
    </row>
    <row r="24" spans="1:14" x14ac:dyDescent="0.2">
      <c r="A24" s="2" t="s">
        <v>365</v>
      </c>
    </row>
    <row r="25" spans="1:14" x14ac:dyDescent="0.2">
      <c r="A25" s="2" t="s">
        <v>366</v>
      </c>
    </row>
    <row r="26" spans="1:14" x14ac:dyDescent="0.2">
      <c r="A26" s="2" t="s">
        <v>367</v>
      </c>
    </row>
    <row r="27" spans="1:14" x14ac:dyDescent="0.2">
      <c r="A27" s="2" t="s">
        <v>368</v>
      </c>
    </row>
    <row r="28" spans="1:14" x14ac:dyDescent="0.2">
      <c r="A28" s="2" t="s">
        <v>369</v>
      </c>
    </row>
    <row r="29" spans="1:14" x14ac:dyDescent="0.2">
      <c r="A29" s="5" t="s">
        <v>370</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60EBF3-5B6E-4557-B8F0-EBEF1CF0888E}">
  <sheetPr>
    <tabColor rgb="FF0070C0"/>
    <pageSetUpPr fitToPage="1"/>
  </sheetPr>
  <dimension ref="A1:R31"/>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50.7109375" style="1" customWidth="1"/>
    <col min="2" max="2" width="44.7109375" style="1" customWidth="1"/>
    <col min="3" max="4" width="11.7109375" style="1" customWidth="1"/>
    <col min="5" max="6" width="13.7109375" style="1" customWidth="1"/>
    <col min="7" max="18" width="5.28515625" style="1" customWidth="1"/>
    <col min="19" max="16384" width="9.140625" style="1"/>
  </cols>
  <sheetData>
    <row r="1" spans="1:18" ht="20.25" x14ac:dyDescent="0.2">
      <c r="A1" s="3" t="s">
        <v>371</v>
      </c>
    </row>
    <row r="2" spans="1:18" x14ac:dyDescent="0.2">
      <c r="A2" s="5" t="s">
        <v>372</v>
      </c>
    </row>
    <row r="4" spans="1:18" x14ac:dyDescent="0.2">
      <c r="A4" s="6" t="s">
        <v>373</v>
      </c>
      <c r="B4" s="6" t="s">
        <v>374</v>
      </c>
      <c r="C4" s="6" t="s">
        <v>375</v>
      </c>
      <c r="D4" s="6" t="s">
        <v>376</v>
      </c>
      <c r="E4" s="6" t="s">
        <v>377</v>
      </c>
      <c r="F4" s="6" t="s">
        <v>378</v>
      </c>
      <c r="G4" s="39">
        <v>1</v>
      </c>
      <c r="H4" s="39">
        <v>2</v>
      </c>
      <c r="I4" s="39">
        <v>3</v>
      </c>
      <c r="J4" s="39">
        <v>4</v>
      </c>
      <c r="K4" s="39">
        <v>5</v>
      </c>
      <c r="L4" s="39">
        <v>6</v>
      </c>
      <c r="M4" s="39">
        <v>7</v>
      </c>
      <c r="N4" s="39">
        <v>8</v>
      </c>
      <c r="O4" s="39">
        <v>9</v>
      </c>
      <c r="P4" s="39">
        <v>10</v>
      </c>
      <c r="Q4" s="39">
        <v>11</v>
      </c>
      <c r="R4" s="39">
        <v>12</v>
      </c>
    </row>
    <row r="5" spans="1:18" x14ac:dyDescent="0.2">
      <c r="A5" s="15" t="s">
        <v>379</v>
      </c>
      <c r="B5" s="15"/>
      <c r="C5" s="15"/>
      <c r="D5" s="15"/>
      <c r="E5" s="15"/>
      <c r="F5" s="15"/>
      <c r="G5" s="15"/>
      <c r="H5" s="15"/>
      <c r="I5" s="15"/>
      <c r="J5" s="15"/>
      <c r="K5" s="15"/>
      <c r="L5" s="15"/>
      <c r="M5" s="15"/>
      <c r="N5" s="15"/>
      <c r="O5" s="15"/>
      <c r="P5" s="15"/>
      <c r="Q5" s="15"/>
      <c r="R5" s="15"/>
    </row>
    <row r="6" spans="1:18" x14ac:dyDescent="0.2">
      <c r="A6" s="9" t="s">
        <v>380</v>
      </c>
      <c r="B6" s="9" t="s">
        <v>381</v>
      </c>
      <c r="C6" s="9"/>
      <c r="D6" s="9"/>
      <c r="E6" s="9"/>
      <c r="F6" s="9"/>
      <c r="G6" s="43"/>
      <c r="H6" s="43"/>
      <c r="I6" s="43"/>
      <c r="J6" s="43"/>
      <c r="K6" s="43"/>
      <c r="L6" s="43"/>
      <c r="M6" s="43"/>
      <c r="N6" s="43"/>
      <c r="O6" s="43"/>
      <c r="P6" s="43"/>
      <c r="Q6" s="43"/>
      <c r="R6" s="43"/>
    </row>
    <row r="7" spans="1:18" x14ac:dyDescent="0.2">
      <c r="A7" s="9" t="s">
        <v>382</v>
      </c>
      <c r="B7" s="9" t="s">
        <v>383</v>
      </c>
      <c r="C7" s="9"/>
      <c r="D7" s="9"/>
      <c r="E7" s="9"/>
      <c r="F7" s="9"/>
      <c r="G7" s="43"/>
      <c r="H7" s="43"/>
      <c r="I7" s="43"/>
      <c r="J7" s="43"/>
      <c r="K7" s="43"/>
      <c r="L7" s="43"/>
      <c r="M7" s="43"/>
      <c r="N7" s="43"/>
      <c r="O7" s="43"/>
      <c r="P7" s="43"/>
      <c r="Q7" s="43"/>
      <c r="R7" s="43"/>
    </row>
    <row r="8" spans="1:18" x14ac:dyDescent="0.2">
      <c r="A8" s="15" t="s">
        <v>384</v>
      </c>
      <c r="B8" s="15"/>
      <c r="C8" s="15"/>
      <c r="D8" s="15"/>
      <c r="E8" s="15"/>
      <c r="F8" s="15"/>
      <c r="G8" s="42"/>
      <c r="H8" s="42"/>
      <c r="I8" s="42"/>
      <c r="J8" s="42"/>
      <c r="K8" s="42"/>
      <c r="L8" s="42"/>
      <c r="M8" s="42"/>
      <c r="N8" s="42"/>
      <c r="O8" s="42"/>
      <c r="P8" s="42"/>
      <c r="Q8" s="42"/>
      <c r="R8" s="42"/>
    </row>
    <row r="9" spans="1:18" x14ac:dyDescent="0.2">
      <c r="A9" s="9" t="s">
        <v>385</v>
      </c>
      <c r="B9" s="9" t="s">
        <v>386</v>
      </c>
      <c r="C9" s="10">
        <v>1</v>
      </c>
      <c r="D9" s="10">
        <v>2</v>
      </c>
      <c r="E9" s="41">
        <f>IF($D9&gt;0,EDATE(StartDate,$C9-1),"")</f>
        <v>46388</v>
      </c>
      <c r="F9" s="41">
        <f>IF($D9&gt;0,EDATE(StartDate,$C9-1+$D9)-1,"")</f>
        <v>46446</v>
      </c>
      <c r="G9" s="43"/>
      <c r="H9" s="43"/>
      <c r="I9" s="43"/>
      <c r="J9" s="43"/>
      <c r="K9" s="43"/>
      <c r="L9" s="43"/>
      <c r="M9" s="43"/>
      <c r="N9" s="43"/>
      <c r="O9" s="43"/>
      <c r="P9" s="43"/>
      <c r="Q9" s="43"/>
      <c r="R9" s="43"/>
    </row>
    <row r="10" spans="1:18" x14ac:dyDescent="0.2">
      <c r="A10" s="9" t="s">
        <v>387</v>
      </c>
      <c r="B10" s="9" t="s">
        <v>388</v>
      </c>
      <c r="C10" s="10">
        <v>1</v>
      </c>
      <c r="D10" s="10">
        <v>2</v>
      </c>
      <c r="E10" s="41">
        <f>IF($D10&gt;0,EDATE(StartDate,$C10-1),"")</f>
        <v>46388</v>
      </c>
      <c r="F10" s="41">
        <f>IF($D10&gt;0,EDATE(StartDate,$C10-1+$D10)-1,"")</f>
        <v>46446</v>
      </c>
      <c r="G10" s="43"/>
      <c r="H10" s="43"/>
      <c r="I10" s="43"/>
      <c r="J10" s="43"/>
      <c r="K10" s="43"/>
      <c r="L10" s="43"/>
      <c r="M10" s="43"/>
      <c r="N10" s="43"/>
      <c r="O10" s="43"/>
      <c r="P10" s="43"/>
      <c r="Q10" s="43"/>
      <c r="R10" s="43"/>
    </row>
    <row r="11" spans="1:18" x14ac:dyDescent="0.2">
      <c r="A11" s="9" t="s">
        <v>389</v>
      </c>
      <c r="B11" s="9" t="s">
        <v>248</v>
      </c>
      <c r="C11" s="10">
        <v>2</v>
      </c>
      <c r="D11" s="10">
        <v>3</v>
      </c>
      <c r="E11" s="41">
        <f>IF($D11&gt;0,EDATE(StartDate,$C11-1),"")</f>
        <v>46419</v>
      </c>
      <c r="F11" s="41">
        <f>IF($D11&gt;0,EDATE(StartDate,$C11-1+$D11)-1,"")</f>
        <v>46507</v>
      </c>
      <c r="G11" s="43"/>
      <c r="H11" s="43"/>
      <c r="I11" s="43"/>
      <c r="J11" s="43"/>
      <c r="K11" s="43"/>
      <c r="L11" s="43"/>
      <c r="M11" s="43"/>
      <c r="N11" s="43"/>
      <c r="O11" s="43"/>
      <c r="P11" s="43"/>
      <c r="Q11" s="43"/>
      <c r="R11" s="43"/>
    </row>
    <row r="12" spans="1:18" x14ac:dyDescent="0.2">
      <c r="A12" s="9" t="s">
        <v>390</v>
      </c>
      <c r="B12" s="9" t="s">
        <v>244</v>
      </c>
      <c r="C12" s="10">
        <v>3</v>
      </c>
      <c r="D12" s="10">
        <v>4</v>
      </c>
      <c r="E12" s="41">
        <f>IF($D12&gt;0,EDATE(StartDate,$C12-1),"")</f>
        <v>46447</v>
      </c>
      <c r="F12" s="41">
        <f>IF($D12&gt;0,EDATE(StartDate,$C12-1+$D12)-1,"")</f>
        <v>46568</v>
      </c>
      <c r="G12" s="43"/>
      <c r="H12" s="43"/>
      <c r="I12" s="43"/>
      <c r="J12" s="43"/>
      <c r="K12" s="43"/>
      <c r="L12" s="43"/>
      <c r="M12" s="43"/>
      <c r="N12" s="43"/>
      <c r="O12" s="43"/>
      <c r="P12" s="43"/>
      <c r="Q12" s="43"/>
      <c r="R12" s="43"/>
    </row>
    <row r="13" spans="1:18" x14ac:dyDescent="0.2">
      <c r="A13" s="9" t="s">
        <v>391</v>
      </c>
      <c r="B13" s="9" t="s">
        <v>392</v>
      </c>
      <c r="C13" s="10">
        <v>6</v>
      </c>
      <c r="D13" s="10">
        <v>1</v>
      </c>
      <c r="E13" s="41">
        <f>IF($D13&gt;0,EDATE(StartDate,$C13-1),"")</f>
        <v>46539</v>
      </c>
      <c r="F13" s="41">
        <f>IF($D13&gt;0,EDATE(StartDate,$C13-1+$D13)-1,"")</f>
        <v>46568</v>
      </c>
      <c r="G13" s="43"/>
      <c r="H13" s="43"/>
      <c r="I13" s="43"/>
      <c r="J13" s="43"/>
      <c r="K13" s="43"/>
      <c r="L13" s="43"/>
      <c r="M13" s="43"/>
      <c r="N13" s="43"/>
      <c r="O13" s="43"/>
      <c r="P13" s="43"/>
      <c r="Q13" s="43"/>
      <c r="R13" s="43"/>
    </row>
    <row r="14" spans="1:18" x14ac:dyDescent="0.2">
      <c r="A14" s="9" t="s">
        <v>255</v>
      </c>
      <c r="B14" s="9" t="s">
        <v>256</v>
      </c>
      <c r="C14" s="10">
        <v>6</v>
      </c>
      <c r="D14" s="10">
        <v>1</v>
      </c>
      <c r="E14" s="41">
        <f>IF($D14&gt;0,EDATE(StartDate,$C14-1),"")</f>
        <v>46539</v>
      </c>
      <c r="F14" s="41">
        <f>IF($D14&gt;0,EDATE(StartDate,$C14-1+$D14)-1,"")</f>
        <v>46568</v>
      </c>
      <c r="G14" s="43"/>
      <c r="H14" s="43"/>
      <c r="I14" s="43"/>
      <c r="J14" s="43"/>
      <c r="K14" s="43"/>
      <c r="L14" s="43"/>
      <c r="M14" s="43"/>
      <c r="N14" s="43"/>
      <c r="O14" s="43"/>
      <c r="P14" s="43"/>
      <c r="Q14" s="43"/>
      <c r="R14" s="43"/>
    </row>
    <row r="15" spans="1:18" x14ac:dyDescent="0.2">
      <c r="A15" s="15" t="s">
        <v>393</v>
      </c>
      <c r="B15" s="15"/>
      <c r="C15" s="15"/>
      <c r="D15" s="15"/>
      <c r="E15" s="40" t="str">
        <f>IF($D15&gt;0,EDATE(StartDate,$C15-1),"")</f>
        <v/>
      </c>
      <c r="F15" s="40" t="str">
        <f>IF($D15&gt;0,EDATE(StartDate,$C15-1+$D15)-1,"")</f>
        <v/>
      </c>
      <c r="G15" s="42"/>
      <c r="H15" s="42"/>
      <c r="I15" s="42"/>
      <c r="J15" s="42"/>
      <c r="K15" s="42"/>
      <c r="L15" s="42"/>
      <c r="M15" s="42"/>
      <c r="N15" s="42"/>
      <c r="O15" s="42"/>
      <c r="P15" s="42"/>
      <c r="Q15" s="42"/>
      <c r="R15" s="42"/>
    </row>
    <row r="16" spans="1:18" x14ac:dyDescent="0.2">
      <c r="A16" s="9" t="s">
        <v>394</v>
      </c>
      <c r="B16" s="9" t="s">
        <v>395</v>
      </c>
      <c r="C16" s="10">
        <v>5</v>
      </c>
      <c r="D16" s="10">
        <v>2</v>
      </c>
      <c r="E16" s="41">
        <f>IF($D16&gt;0,EDATE(StartDate,$C16-1),"")</f>
        <v>46508</v>
      </c>
      <c r="F16" s="41">
        <f>IF($D16&gt;0,EDATE(StartDate,$C16-1+$D16)-1,"")</f>
        <v>46568</v>
      </c>
      <c r="G16" s="43"/>
      <c r="H16" s="43"/>
      <c r="I16" s="43"/>
      <c r="J16" s="43"/>
      <c r="K16" s="43"/>
      <c r="L16" s="43"/>
      <c r="M16" s="43"/>
      <c r="N16" s="43"/>
      <c r="O16" s="43"/>
      <c r="P16" s="43"/>
      <c r="Q16" s="43"/>
      <c r="R16" s="43"/>
    </row>
    <row r="17" spans="1:18" x14ac:dyDescent="0.2">
      <c r="A17" s="9" t="s">
        <v>396</v>
      </c>
      <c r="B17" s="9" t="s">
        <v>397</v>
      </c>
      <c r="C17" s="10">
        <v>6</v>
      </c>
      <c r="D17" s="10">
        <v>2</v>
      </c>
      <c r="E17" s="41">
        <f>IF($D17&gt;0,EDATE(StartDate,$C17-1),"")</f>
        <v>46539</v>
      </c>
      <c r="F17" s="41">
        <f>IF($D17&gt;0,EDATE(StartDate,$C17-1+$D17)-1,"")</f>
        <v>46599</v>
      </c>
      <c r="G17" s="43"/>
      <c r="H17" s="43"/>
      <c r="I17" s="43"/>
      <c r="J17" s="43"/>
      <c r="K17" s="43"/>
      <c r="L17" s="43"/>
      <c r="M17" s="43"/>
      <c r="N17" s="43"/>
      <c r="O17" s="43"/>
      <c r="P17" s="43"/>
      <c r="Q17" s="43"/>
      <c r="R17" s="43"/>
    </row>
    <row r="18" spans="1:18" x14ac:dyDescent="0.2">
      <c r="A18" s="9" t="s">
        <v>398</v>
      </c>
      <c r="B18" s="9" t="s">
        <v>399</v>
      </c>
      <c r="C18" s="10">
        <v>7</v>
      </c>
      <c r="D18" s="10">
        <v>1</v>
      </c>
      <c r="E18" s="41">
        <f>IF($D18&gt;0,EDATE(StartDate,$C18-1),"")</f>
        <v>46569</v>
      </c>
      <c r="F18" s="41">
        <f>IF($D18&gt;0,EDATE(StartDate,$C18-1+$D18)-1,"")</f>
        <v>46599</v>
      </c>
      <c r="G18" s="43"/>
      <c r="H18" s="43"/>
      <c r="I18" s="43"/>
      <c r="J18" s="43"/>
      <c r="K18" s="43"/>
      <c r="L18" s="43"/>
      <c r="M18" s="43"/>
      <c r="N18" s="43"/>
      <c r="O18" s="43"/>
      <c r="P18" s="43"/>
      <c r="Q18" s="43"/>
      <c r="R18" s="43"/>
    </row>
    <row r="19" spans="1:18" x14ac:dyDescent="0.2">
      <c r="A19" s="9" t="s">
        <v>400</v>
      </c>
      <c r="B19" s="9" t="s">
        <v>401</v>
      </c>
      <c r="C19" s="10">
        <v>7</v>
      </c>
      <c r="D19" s="10">
        <v>2</v>
      </c>
      <c r="E19" s="41">
        <f>IF($D19&gt;0,EDATE(StartDate,$C19-1),"")</f>
        <v>46569</v>
      </c>
      <c r="F19" s="41">
        <f>IF($D19&gt;0,EDATE(StartDate,$C19-1+$D19)-1,"")</f>
        <v>46630</v>
      </c>
      <c r="G19" s="43"/>
      <c r="H19" s="43"/>
      <c r="I19" s="43"/>
      <c r="J19" s="43"/>
      <c r="K19" s="43"/>
      <c r="L19" s="43"/>
      <c r="M19" s="43"/>
      <c r="N19" s="43"/>
      <c r="O19" s="43"/>
      <c r="P19" s="43"/>
      <c r="Q19" s="43"/>
      <c r="R19" s="43"/>
    </row>
    <row r="20" spans="1:18" x14ac:dyDescent="0.2">
      <c r="A20" s="9" t="s">
        <v>402</v>
      </c>
      <c r="B20" s="9" t="s">
        <v>403</v>
      </c>
      <c r="C20" s="10">
        <v>7</v>
      </c>
      <c r="D20" s="10">
        <v>2</v>
      </c>
      <c r="E20" s="41">
        <f>IF($D20&gt;0,EDATE(StartDate,$C20-1),"")</f>
        <v>46569</v>
      </c>
      <c r="F20" s="41">
        <f>IF($D20&gt;0,EDATE(StartDate,$C20-1+$D20)-1,"")</f>
        <v>46630</v>
      </c>
      <c r="G20" s="43"/>
      <c r="H20" s="43"/>
      <c r="I20" s="43"/>
      <c r="J20" s="43"/>
      <c r="K20" s="43"/>
      <c r="L20" s="43"/>
      <c r="M20" s="43"/>
      <c r="N20" s="43"/>
      <c r="O20" s="43"/>
      <c r="P20" s="43"/>
      <c r="Q20" s="43"/>
      <c r="R20" s="43"/>
    </row>
    <row r="21" spans="1:18" x14ac:dyDescent="0.2">
      <c r="A21" s="9" t="s">
        <v>404</v>
      </c>
      <c r="B21" s="9" t="s">
        <v>405</v>
      </c>
      <c r="C21" s="10">
        <v>7</v>
      </c>
      <c r="D21" s="10">
        <v>2</v>
      </c>
      <c r="E21" s="41">
        <f>IF($D21&gt;0,EDATE(StartDate,$C21-1),"")</f>
        <v>46569</v>
      </c>
      <c r="F21" s="41">
        <f>IF($D21&gt;0,EDATE(StartDate,$C21-1+$D21)-1,"")</f>
        <v>46630</v>
      </c>
      <c r="G21" s="43"/>
      <c r="H21" s="43"/>
      <c r="I21" s="43"/>
      <c r="J21" s="43"/>
      <c r="K21" s="43"/>
      <c r="L21" s="43"/>
      <c r="M21" s="43"/>
      <c r="N21" s="43"/>
      <c r="O21" s="43"/>
      <c r="P21" s="43"/>
      <c r="Q21" s="43"/>
      <c r="R21" s="43"/>
    </row>
    <row r="22" spans="1:18" x14ac:dyDescent="0.2">
      <c r="A22" s="9" t="s">
        <v>406</v>
      </c>
      <c r="B22" s="9" t="s">
        <v>112</v>
      </c>
      <c r="C22" s="10">
        <v>8</v>
      </c>
      <c r="D22" s="10">
        <v>1</v>
      </c>
      <c r="E22" s="41">
        <f>IF($D22&gt;0,EDATE(StartDate,$C22-1),"")</f>
        <v>46600</v>
      </c>
      <c r="F22" s="41">
        <f>IF($D22&gt;0,EDATE(StartDate,$C22-1+$D22)-1,"")</f>
        <v>46630</v>
      </c>
      <c r="G22" s="43"/>
      <c r="H22" s="43"/>
      <c r="I22" s="43"/>
      <c r="J22" s="43"/>
      <c r="K22" s="43"/>
      <c r="L22" s="43"/>
      <c r="M22" s="43"/>
      <c r="N22" s="43"/>
      <c r="O22" s="43"/>
      <c r="P22" s="43"/>
      <c r="Q22" s="43"/>
      <c r="R22" s="43"/>
    </row>
    <row r="23" spans="1:18" x14ac:dyDescent="0.2">
      <c r="A23" s="9" t="s">
        <v>407</v>
      </c>
      <c r="B23" s="9" t="s">
        <v>408</v>
      </c>
      <c r="C23" s="10">
        <v>9</v>
      </c>
      <c r="D23" s="10">
        <v>1</v>
      </c>
      <c r="E23" s="41">
        <f>IF($D23&gt;0,EDATE(StartDate,$C23-1),"")</f>
        <v>46631</v>
      </c>
      <c r="F23" s="41">
        <f>IF($D23&gt;0,EDATE(StartDate,$C23-1+$D23)-1,"")</f>
        <v>46660</v>
      </c>
      <c r="G23" s="43"/>
      <c r="H23" s="43"/>
      <c r="I23" s="43"/>
      <c r="J23" s="43"/>
      <c r="K23" s="43"/>
      <c r="L23" s="43"/>
      <c r="M23" s="43"/>
      <c r="N23" s="43"/>
      <c r="O23" s="43"/>
      <c r="P23" s="43"/>
      <c r="Q23" s="43"/>
      <c r="R23" s="43"/>
    </row>
    <row r="24" spans="1:18" x14ac:dyDescent="0.2">
      <c r="A24" s="15" t="s">
        <v>409</v>
      </c>
      <c r="B24" s="15"/>
      <c r="C24" s="15"/>
      <c r="D24" s="15"/>
      <c r="E24" s="40" t="str">
        <f>IF($D24&gt;0,EDATE(StartDate,$C24-1),"")</f>
        <v/>
      </c>
      <c r="F24" s="40" t="str">
        <f>IF($D24&gt;0,EDATE(StartDate,$C24-1+$D24)-1,"")</f>
        <v/>
      </c>
      <c r="G24" s="42"/>
      <c r="H24" s="42"/>
      <c r="I24" s="42"/>
      <c r="J24" s="42"/>
      <c r="K24" s="42"/>
      <c r="L24" s="42"/>
      <c r="M24" s="42"/>
      <c r="N24" s="42"/>
      <c r="O24" s="42"/>
      <c r="P24" s="42"/>
      <c r="Q24" s="42"/>
      <c r="R24" s="42"/>
    </row>
    <row r="25" spans="1:18" x14ac:dyDescent="0.2">
      <c r="A25" s="9" t="s">
        <v>410</v>
      </c>
      <c r="B25" s="9" t="s">
        <v>112</v>
      </c>
      <c r="C25" s="10">
        <v>8</v>
      </c>
      <c r="D25" s="10">
        <v>1</v>
      </c>
      <c r="E25" s="41">
        <f>IF($D25&gt;0,EDATE(StartDate,$C25-1),"")</f>
        <v>46600</v>
      </c>
      <c r="F25" s="41">
        <f>IF($D25&gt;0,EDATE(StartDate,$C25-1+$D25)-1,"")</f>
        <v>46630</v>
      </c>
      <c r="G25" s="43"/>
      <c r="H25" s="43"/>
      <c r="I25" s="43"/>
      <c r="J25" s="43"/>
      <c r="K25" s="43"/>
      <c r="L25" s="43"/>
      <c r="M25" s="43"/>
      <c r="N25" s="43"/>
      <c r="O25" s="43"/>
      <c r="P25" s="43"/>
      <c r="Q25" s="43"/>
      <c r="R25" s="43"/>
    </row>
    <row r="26" spans="1:18" x14ac:dyDescent="0.2">
      <c r="A26" s="9" t="s">
        <v>411</v>
      </c>
      <c r="B26" s="9" t="s">
        <v>112</v>
      </c>
      <c r="C26" s="10">
        <v>8</v>
      </c>
      <c r="D26" s="10">
        <v>2</v>
      </c>
      <c r="E26" s="41">
        <f>IF($D26&gt;0,EDATE(StartDate,$C26-1),"")</f>
        <v>46600</v>
      </c>
      <c r="F26" s="41">
        <f>IF($D26&gt;0,EDATE(StartDate,$C26-1+$D26)-1,"")</f>
        <v>46660</v>
      </c>
      <c r="G26" s="43"/>
      <c r="H26" s="43"/>
      <c r="I26" s="43"/>
      <c r="J26" s="43"/>
      <c r="K26" s="43"/>
      <c r="L26" s="43"/>
      <c r="M26" s="43"/>
      <c r="N26" s="43"/>
      <c r="O26" s="43"/>
      <c r="P26" s="43"/>
      <c r="Q26" s="43"/>
      <c r="R26" s="43"/>
    </row>
    <row r="27" spans="1:18" x14ac:dyDescent="0.2">
      <c r="A27" s="15" t="s">
        <v>412</v>
      </c>
      <c r="B27" s="15"/>
      <c r="C27" s="15"/>
      <c r="D27" s="15"/>
      <c r="E27" s="40" t="str">
        <f>IF($D27&gt;0,EDATE(StartDate,$C27-1),"")</f>
        <v/>
      </c>
      <c r="F27" s="40" t="str">
        <f>IF($D27&gt;0,EDATE(StartDate,$C27-1+$D27)-1,"")</f>
        <v/>
      </c>
      <c r="G27" s="42"/>
      <c r="H27" s="42"/>
      <c r="I27" s="42"/>
      <c r="J27" s="42"/>
      <c r="K27" s="42"/>
      <c r="L27" s="42"/>
      <c r="M27" s="42"/>
      <c r="N27" s="42"/>
      <c r="O27" s="42"/>
      <c r="P27" s="42"/>
      <c r="Q27" s="42"/>
      <c r="R27" s="42"/>
    </row>
    <row r="28" spans="1:18" x14ac:dyDescent="0.2">
      <c r="A28" s="32" t="s">
        <v>413</v>
      </c>
      <c r="B28" s="9" t="s">
        <v>414</v>
      </c>
      <c r="C28" s="10">
        <v>10</v>
      </c>
      <c r="D28" s="10">
        <v>3</v>
      </c>
      <c r="E28" s="41">
        <f>IF($D28&gt;0,EDATE(StartDate,$C28-1),"")</f>
        <v>46661</v>
      </c>
      <c r="F28" s="41">
        <f>IF($D28&gt;0,EDATE(StartDate,$C28-1+$D28)-1,"")</f>
        <v>46752</v>
      </c>
      <c r="G28" s="43"/>
      <c r="H28" s="43"/>
      <c r="I28" s="43"/>
      <c r="J28" s="43"/>
      <c r="K28" s="43"/>
      <c r="L28" s="43"/>
      <c r="M28" s="43"/>
      <c r="N28" s="43"/>
      <c r="O28" s="43"/>
      <c r="P28" s="43"/>
      <c r="Q28" s="43"/>
      <c r="R28" s="43"/>
    </row>
    <row r="30" spans="1:18" x14ac:dyDescent="0.2">
      <c r="A30" s="32" t="s">
        <v>415</v>
      </c>
      <c r="C30" s="13">
        <f>C28-1</f>
        <v>9</v>
      </c>
      <c r="D30" s="7" t="s">
        <v>232</v>
      </c>
    </row>
    <row r="31" spans="1:18" x14ac:dyDescent="0.2">
      <c r="A31" s="5" t="s">
        <v>416</v>
      </c>
    </row>
  </sheetData>
  <conditionalFormatting sqref="G6:R28">
    <cfRule type="expression" dxfId="8" priority="1" stopIfTrue="1">
      <formula>AND($D6&gt;0,G$4&gt;=$C6,G$4&lt;$C6+$D6)</formula>
    </cfRule>
  </conditionalFormatting>
  <pageMargins left="0.3888888888888889" right="0.3888888888888889" top="0.5" bottom="0.5" header="0.3" footer="0.3"/>
  <pageSetup paperSize="9" scale="67" fitToHeight="0" orientation="landscape" verticalDpi="0" r:id="rId1"/>
  <headerFooter>
    <oddFooter>&amp;C&amp;P /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4A040-2F3B-48B0-9204-BED1CF56A8DF}">
  <sheetPr>
    <tabColor rgb="FF833C0B"/>
    <pageSetUpPr fitToPage="1"/>
  </sheetPr>
  <dimension ref="A1:N20"/>
  <sheetViews>
    <sheetView showGridLines="0" rightToLeft="1" zoomScale="90" zoomScaleNormal="90" workbookViewId="0"/>
  </sheetViews>
  <sheetFormatPr defaultRowHeight="12.75" x14ac:dyDescent="0.2"/>
  <cols>
    <col min="1" max="1" width="48.7109375" style="1" customWidth="1"/>
    <col min="2" max="2" width="12.7109375" style="1" customWidth="1"/>
    <col min="3" max="14" width="14.7109375" style="1" customWidth="1"/>
    <col min="15" max="16384" width="9.140625" style="1"/>
  </cols>
  <sheetData>
    <row r="1" spans="1:14" ht="20.25" x14ac:dyDescent="0.2">
      <c r="A1" s="3" t="s">
        <v>417</v>
      </c>
    </row>
    <row r="2" spans="1:14" x14ac:dyDescent="0.2">
      <c r="A2" s="5" t="s">
        <v>418</v>
      </c>
    </row>
    <row r="4" spans="1:14" ht="25.5" x14ac:dyDescent="0.2">
      <c r="A4" s="6" t="s">
        <v>419</v>
      </c>
      <c r="B4" s="6" t="s">
        <v>420</v>
      </c>
      <c r="C4" s="6" t="s">
        <v>421</v>
      </c>
      <c r="D4" s="6" t="s">
        <v>422</v>
      </c>
      <c r="E4" s="6" t="s">
        <v>423</v>
      </c>
      <c r="F4" s="6" t="s">
        <v>424</v>
      </c>
      <c r="G4" s="6" t="s">
        <v>425</v>
      </c>
      <c r="H4" s="6" t="s">
        <v>426</v>
      </c>
      <c r="I4" s="6" t="s">
        <v>286</v>
      </c>
      <c r="J4" s="6"/>
      <c r="K4" s="6"/>
      <c r="L4" s="6"/>
      <c r="M4" s="6"/>
      <c r="N4" s="6"/>
    </row>
    <row r="5" spans="1:14" x14ac:dyDescent="0.2">
      <c r="A5" s="9" t="s">
        <v>427</v>
      </c>
      <c r="B5" s="10">
        <v>2</v>
      </c>
      <c r="C5" s="10">
        <v>107500</v>
      </c>
      <c r="D5" s="11">
        <f>B5*C5*F_Capex</f>
        <v>215000</v>
      </c>
      <c r="E5" s="10">
        <v>10</v>
      </c>
      <c r="F5" s="38">
        <v>0.1</v>
      </c>
      <c r="G5" s="10">
        <v>0</v>
      </c>
      <c r="H5" s="11">
        <f>D5*(1-F5)/E5</f>
        <v>19350</v>
      </c>
      <c r="I5" s="5" t="s">
        <v>428</v>
      </c>
    </row>
    <row r="6" spans="1:14" x14ac:dyDescent="0.2">
      <c r="A6" s="9" t="s">
        <v>429</v>
      </c>
      <c r="B6" s="10">
        <v>1</v>
      </c>
      <c r="C6" s="10">
        <v>4000</v>
      </c>
      <c r="D6" s="11">
        <f>B6*C6*F_Capex</f>
        <v>4000</v>
      </c>
      <c r="E6" s="10">
        <v>5</v>
      </c>
      <c r="F6" s="38">
        <v>0</v>
      </c>
      <c r="G6" s="10">
        <v>1</v>
      </c>
      <c r="H6" s="11">
        <f>D6*(1-F6)/E6</f>
        <v>800</v>
      </c>
      <c r="I6" s="5" t="s">
        <v>430</v>
      </c>
    </row>
    <row r="7" spans="1:14" x14ac:dyDescent="0.2">
      <c r="A7" s="9" t="s">
        <v>431</v>
      </c>
      <c r="B7" s="10">
        <v>1</v>
      </c>
      <c r="C7" s="10">
        <v>3500</v>
      </c>
      <c r="D7" s="11">
        <f>B7*C7*F_Capex</f>
        <v>3500</v>
      </c>
      <c r="E7" s="10">
        <v>5</v>
      </c>
      <c r="F7" s="38">
        <v>0</v>
      </c>
      <c r="G7" s="10">
        <v>1</v>
      </c>
      <c r="H7" s="11">
        <f>D7*(1-F7)/E7</f>
        <v>700</v>
      </c>
      <c r="I7" s="5" t="s">
        <v>432</v>
      </c>
    </row>
    <row r="8" spans="1:14" x14ac:dyDescent="0.2">
      <c r="A8" s="29" t="s">
        <v>433</v>
      </c>
      <c r="B8" s="29"/>
      <c r="C8" s="29"/>
      <c r="D8" s="12">
        <f>SUM(D5:D7)</f>
        <v>222500</v>
      </c>
      <c r="E8" s="29"/>
      <c r="F8" s="29"/>
      <c r="G8" s="29"/>
      <c r="H8" s="12">
        <f>SUM(H5:H7)</f>
        <v>20850</v>
      </c>
    </row>
    <row r="11" spans="1:14" x14ac:dyDescent="0.2">
      <c r="A11" s="6" t="s">
        <v>434</v>
      </c>
      <c r="B11" s="6" t="s">
        <v>57</v>
      </c>
      <c r="C11" s="36">
        <v>0</v>
      </c>
      <c r="D11" s="37">
        <v>1</v>
      </c>
      <c r="E11" s="37">
        <v>2</v>
      </c>
      <c r="F11" s="37">
        <v>3</v>
      </c>
      <c r="G11" s="37">
        <v>4</v>
      </c>
      <c r="H11" s="37">
        <v>5</v>
      </c>
      <c r="I11" s="37">
        <v>6</v>
      </c>
      <c r="J11" s="37">
        <v>7</v>
      </c>
      <c r="K11" s="37">
        <v>8</v>
      </c>
      <c r="L11" s="37">
        <v>9</v>
      </c>
      <c r="M11" s="37">
        <v>10</v>
      </c>
      <c r="N11" s="6" t="s">
        <v>357</v>
      </c>
    </row>
    <row r="12" spans="1:14" x14ac:dyDescent="0.2">
      <c r="A12" s="9" t="s">
        <v>435</v>
      </c>
      <c r="B12" s="7" t="s">
        <v>75</v>
      </c>
      <c r="C12" s="11"/>
      <c r="D12" s="11">
        <f t="shared" ref="D12:M12" si="0">IF(OR(D$11&lt;=$E$5,$G$5=1),$H$5,0)</f>
        <v>19350</v>
      </c>
      <c r="E12" s="11">
        <f t="shared" si="0"/>
        <v>19350</v>
      </c>
      <c r="F12" s="11">
        <f t="shared" si="0"/>
        <v>19350</v>
      </c>
      <c r="G12" s="11">
        <f t="shared" si="0"/>
        <v>19350</v>
      </c>
      <c r="H12" s="11">
        <f t="shared" si="0"/>
        <v>19350</v>
      </c>
      <c r="I12" s="11">
        <f t="shared" si="0"/>
        <v>19350</v>
      </c>
      <c r="J12" s="11">
        <f t="shared" si="0"/>
        <v>19350</v>
      </c>
      <c r="K12" s="11">
        <f t="shared" si="0"/>
        <v>19350</v>
      </c>
      <c r="L12" s="11">
        <f t="shared" si="0"/>
        <v>19350</v>
      </c>
      <c r="M12" s="11">
        <f t="shared" si="0"/>
        <v>19350</v>
      </c>
      <c r="N12" s="12">
        <f>SUM(D12:M12)</f>
        <v>193500</v>
      </c>
    </row>
    <row r="13" spans="1:14" x14ac:dyDescent="0.2">
      <c r="A13" s="9" t="s">
        <v>436</v>
      </c>
      <c r="B13" s="7" t="s">
        <v>75</v>
      </c>
      <c r="C13" s="11"/>
      <c r="D13" s="11">
        <f t="shared" ref="D13:M13" si="1">IF(OR(D$11&lt;=$E$6,$G$6=1),$H$6,0)</f>
        <v>800</v>
      </c>
      <c r="E13" s="11">
        <f t="shared" si="1"/>
        <v>800</v>
      </c>
      <c r="F13" s="11">
        <f t="shared" si="1"/>
        <v>800</v>
      </c>
      <c r="G13" s="11">
        <f t="shared" si="1"/>
        <v>800</v>
      </c>
      <c r="H13" s="11">
        <f t="shared" si="1"/>
        <v>800</v>
      </c>
      <c r="I13" s="11">
        <f t="shared" si="1"/>
        <v>800</v>
      </c>
      <c r="J13" s="11">
        <f t="shared" si="1"/>
        <v>800</v>
      </c>
      <c r="K13" s="11">
        <f t="shared" si="1"/>
        <v>800</v>
      </c>
      <c r="L13" s="11">
        <f t="shared" si="1"/>
        <v>800</v>
      </c>
      <c r="M13" s="11">
        <f t="shared" si="1"/>
        <v>800</v>
      </c>
      <c r="N13" s="12">
        <f>SUM(D13:M13)</f>
        <v>8000</v>
      </c>
    </row>
    <row r="14" spans="1:14" x14ac:dyDescent="0.2">
      <c r="A14" s="9" t="s">
        <v>437</v>
      </c>
      <c r="B14" s="7" t="s">
        <v>75</v>
      </c>
      <c r="C14" s="11"/>
      <c r="D14" s="11">
        <f t="shared" ref="D14:M14" si="2">IF(OR(D$11&lt;=$E$7,$G$7=1),$H$7,0)</f>
        <v>700</v>
      </c>
      <c r="E14" s="11">
        <f t="shared" si="2"/>
        <v>700</v>
      </c>
      <c r="F14" s="11">
        <f t="shared" si="2"/>
        <v>700</v>
      </c>
      <c r="G14" s="11">
        <f t="shared" si="2"/>
        <v>700</v>
      </c>
      <c r="H14" s="11">
        <f t="shared" si="2"/>
        <v>700</v>
      </c>
      <c r="I14" s="11">
        <f t="shared" si="2"/>
        <v>700</v>
      </c>
      <c r="J14" s="11">
        <f t="shared" si="2"/>
        <v>700</v>
      </c>
      <c r="K14" s="11">
        <f t="shared" si="2"/>
        <v>700</v>
      </c>
      <c r="L14" s="11">
        <f t="shared" si="2"/>
        <v>700</v>
      </c>
      <c r="M14" s="11">
        <f t="shared" si="2"/>
        <v>700</v>
      </c>
      <c r="N14" s="12">
        <f>SUM(D14:M14)</f>
        <v>7000</v>
      </c>
    </row>
    <row r="15" spans="1:14" x14ac:dyDescent="0.2">
      <c r="A15" s="32" t="s">
        <v>438</v>
      </c>
      <c r="B15" s="7" t="s">
        <v>75</v>
      </c>
      <c r="C15" s="12"/>
      <c r="D15" s="12">
        <f t="shared" ref="D15:M15" si="3">SUM(D12:D14)</f>
        <v>20850</v>
      </c>
      <c r="E15" s="12">
        <f t="shared" si="3"/>
        <v>20850</v>
      </c>
      <c r="F15" s="12">
        <f t="shared" si="3"/>
        <v>20850</v>
      </c>
      <c r="G15" s="12">
        <f t="shared" si="3"/>
        <v>20850</v>
      </c>
      <c r="H15" s="12">
        <f t="shared" si="3"/>
        <v>20850</v>
      </c>
      <c r="I15" s="12">
        <f t="shared" si="3"/>
        <v>20850</v>
      </c>
      <c r="J15" s="12">
        <f t="shared" si="3"/>
        <v>20850</v>
      </c>
      <c r="K15" s="12">
        <f t="shared" si="3"/>
        <v>20850</v>
      </c>
      <c r="L15" s="12">
        <f t="shared" si="3"/>
        <v>20850</v>
      </c>
      <c r="M15" s="12">
        <f t="shared" si="3"/>
        <v>20850</v>
      </c>
      <c r="N15" s="12">
        <f>SUM(D15:M15)</f>
        <v>208500</v>
      </c>
    </row>
    <row r="16" spans="1:14" x14ac:dyDescent="0.2">
      <c r="A16" s="9" t="s">
        <v>439</v>
      </c>
      <c r="B16" s="7" t="s">
        <v>75</v>
      </c>
      <c r="C16" s="11"/>
      <c r="D16" s="11">
        <f t="shared" ref="D16:M16" si="4">IF(AND($G$5=1,D$11=$E$5+1),$D$5,0)+IF(AND($G$6=1,D$11=$E$6+1),$D$6,0)+IF(AND($G$7=1,D$11=$E$7+1),$D$7,0)</f>
        <v>0</v>
      </c>
      <c r="E16" s="11">
        <f t="shared" si="4"/>
        <v>0</v>
      </c>
      <c r="F16" s="11">
        <f t="shared" si="4"/>
        <v>0</v>
      </c>
      <c r="G16" s="11">
        <f t="shared" si="4"/>
        <v>0</v>
      </c>
      <c r="H16" s="11">
        <f t="shared" si="4"/>
        <v>0</v>
      </c>
      <c r="I16" s="11">
        <f t="shared" si="4"/>
        <v>7500</v>
      </c>
      <c r="J16" s="11">
        <f t="shared" si="4"/>
        <v>0</v>
      </c>
      <c r="K16" s="11">
        <f t="shared" si="4"/>
        <v>0</v>
      </c>
      <c r="L16" s="11">
        <f t="shared" si="4"/>
        <v>0</v>
      </c>
      <c r="M16" s="11">
        <f t="shared" si="4"/>
        <v>0</v>
      </c>
      <c r="N16" s="12">
        <f>SUM(D16:M16)</f>
        <v>7500</v>
      </c>
    </row>
    <row r="17" spans="1:14" x14ac:dyDescent="0.2">
      <c r="A17" s="9" t="s">
        <v>440</v>
      </c>
      <c r="B17" s="7" t="s">
        <v>75</v>
      </c>
      <c r="C17" s="11">
        <f>D8</f>
        <v>222500</v>
      </c>
      <c r="D17" s="11">
        <f t="shared" ref="D17:M17" si="5">C17+D16</f>
        <v>222500</v>
      </c>
      <c r="E17" s="11">
        <f t="shared" si="5"/>
        <v>222500</v>
      </c>
      <c r="F17" s="11">
        <f t="shared" si="5"/>
        <v>222500</v>
      </c>
      <c r="G17" s="11">
        <f t="shared" si="5"/>
        <v>222500</v>
      </c>
      <c r="H17" s="11">
        <f t="shared" si="5"/>
        <v>222500</v>
      </c>
      <c r="I17" s="11">
        <f t="shared" si="5"/>
        <v>230000</v>
      </c>
      <c r="J17" s="11">
        <f t="shared" si="5"/>
        <v>230000</v>
      </c>
      <c r="K17" s="11">
        <f t="shared" si="5"/>
        <v>230000</v>
      </c>
      <c r="L17" s="11">
        <f t="shared" si="5"/>
        <v>230000</v>
      </c>
      <c r="M17" s="11">
        <f t="shared" si="5"/>
        <v>230000</v>
      </c>
      <c r="N17" s="11"/>
    </row>
    <row r="18" spans="1:14" x14ac:dyDescent="0.2">
      <c r="A18" s="9" t="s">
        <v>441</v>
      </c>
      <c r="B18" s="7" t="s">
        <v>75</v>
      </c>
      <c r="C18" s="11">
        <v>0</v>
      </c>
      <c r="D18" s="11">
        <f t="shared" ref="D18:M18" si="6">C18+D15</f>
        <v>20850</v>
      </c>
      <c r="E18" s="11">
        <f t="shared" si="6"/>
        <v>41700</v>
      </c>
      <c r="F18" s="11">
        <f t="shared" si="6"/>
        <v>62550</v>
      </c>
      <c r="G18" s="11">
        <f t="shared" si="6"/>
        <v>83400</v>
      </c>
      <c r="H18" s="11">
        <f t="shared" si="6"/>
        <v>104250</v>
      </c>
      <c r="I18" s="11">
        <f t="shared" si="6"/>
        <v>125100</v>
      </c>
      <c r="J18" s="11">
        <f t="shared" si="6"/>
        <v>145950</v>
      </c>
      <c r="K18" s="11">
        <f t="shared" si="6"/>
        <v>166800</v>
      </c>
      <c r="L18" s="11">
        <f t="shared" si="6"/>
        <v>187650</v>
      </c>
      <c r="M18" s="11">
        <f t="shared" si="6"/>
        <v>208500</v>
      </c>
      <c r="N18" s="11"/>
    </row>
    <row r="19" spans="1:14" x14ac:dyDescent="0.2">
      <c r="A19" s="32" t="s">
        <v>442</v>
      </c>
      <c r="B19" s="7" t="s">
        <v>75</v>
      </c>
      <c r="C19" s="12">
        <f>C17-C18</f>
        <v>222500</v>
      </c>
      <c r="D19" s="12">
        <f t="shared" ref="D19:M19" si="7">D17-D18</f>
        <v>201650</v>
      </c>
      <c r="E19" s="12">
        <f t="shared" si="7"/>
        <v>180800</v>
      </c>
      <c r="F19" s="12">
        <f t="shared" si="7"/>
        <v>159950</v>
      </c>
      <c r="G19" s="12">
        <f t="shared" si="7"/>
        <v>139100</v>
      </c>
      <c r="H19" s="12">
        <f t="shared" si="7"/>
        <v>118250</v>
      </c>
      <c r="I19" s="12">
        <f t="shared" si="7"/>
        <v>104900</v>
      </c>
      <c r="J19" s="12">
        <f t="shared" si="7"/>
        <v>84050</v>
      </c>
      <c r="K19" s="12">
        <f t="shared" si="7"/>
        <v>63200</v>
      </c>
      <c r="L19" s="12">
        <f t="shared" si="7"/>
        <v>42350</v>
      </c>
      <c r="M19" s="12">
        <f t="shared" si="7"/>
        <v>21500</v>
      </c>
      <c r="N19" s="11"/>
    </row>
    <row r="20" spans="1:14" x14ac:dyDescent="0.2">
      <c r="A20" s="5" t="s">
        <v>443</v>
      </c>
    </row>
  </sheetData>
  <pageMargins left="0.3888888888888889" right="0.3888888888888889" top="0.5" bottom="0.5" header="0.3" footer="0.3"/>
  <pageSetup paperSize="9" scale="59" fitToHeight="0" orientation="landscape" verticalDpi="0" r:id="rId1"/>
  <headerFooter>
    <oddFooter>&amp;C&amp;P /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4848-9033-4F00-B5DC-7F352841E251}">
  <sheetPr>
    <tabColor rgb="FF833C0B"/>
    <pageSetUpPr fitToPage="1"/>
  </sheetPr>
  <dimension ref="A1:D13"/>
  <sheetViews>
    <sheetView showGridLines="0" rightToLeft="1" zoomScale="90" zoomScaleNormal="90" workbookViewId="0"/>
  </sheetViews>
  <sheetFormatPr defaultRowHeight="12.75" x14ac:dyDescent="0.2"/>
  <cols>
    <col min="1" max="1" width="62.7109375" style="1" customWidth="1"/>
    <col min="2" max="2" width="18.7109375" style="1" customWidth="1"/>
    <col min="3" max="3" width="20.7109375" style="1" customWidth="1"/>
    <col min="4" max="4" width="78.7109375" style="1" customWidth="1"/>
    <col min="5" max="16384" width="9.140625" style="1"/>
  </cols>
  <sheetData>
    <row r="1" spans="1:4" ht="20.25" x14ac:dyDescent="0.2">
      <c r="A1" s="3" t="s">
        <v>21</v>
      </c>
    </row>
    <row r="2" spans="1:4" x14ac:dyDescent="0.2">
      <c r="A2" s="5" t="s">
        <v>444</v>
      </c>
    </row>
    <row r="4" spans="1:4" x14ac:dyDescent="0.2">
      <c r="A4" s="6" t="s">
        <v>445</v>
      </c>
      <c r="B4" s="6" t="s">
        <v>446</v>
      </c>
      <c r="C4" s="6" t="s">
        <v>447</v>
      </c>
      <c r="D4" s="6" t="s">
        <v>58</v>
      </c>
    </row>
    <row r="5" spans="1:4" x14ac:dyDescent="0.2">
      <c r="A5" s="9" t="s">
        <v>448</v>
      </c>
      <c r="B5" s="11">
        <f>LicFees</f>
        <v>8400</v>
      </c>
      <c r="C5" s="7" t="s">
        <v>449</v>
      </c>
      <c r="D5" s="16" t="s">
        <v>450</v>
      </c>
    </row>
    <row r="6" spans="1:4" x14ac:dyDescent="0.2">
      <c r="A6" s="9" t="s">
        <v>451</v>
      </c>
      <c r="B6" s="10">
        <v>12200</v>
      </c>
      <c r="C6" s="7" t="s">
        <v>113</v>
      </c>
      <c r="D6" s="16"/>
    </row>
    <row r="7" spans="1:4" x14ac:dyDescent="0.2">
      <c r="A7" s="9" t="s">
        <v>452</v>
      </c>
      <c r="B7" s="10">
        <v>5600</v>
      </c>
      <c r="C7" s="7" t="s">
        <v>113</v>
      </c>
      <c r="D7" s="16"/>
    </row>
    <row r="8" spans="1:4" x14ac:dyDescent="0.2">
      <c r="A8" s="9" t="s">
        <v>453</v>
      </c>
      <c r="B8" s="11">
        <f>PermitCost</f>
        <v>3192</v>
      </c>
      <c r="C8" s="7" t="s">
        <v>449</v>
      </c>
      <c r="D8" s="16" t="s">
        <v>454</v>
      </c>
    </row>
    <row r="9" spans="1:4" x14ac:dyDescent="0.2">
      <c r="A9" s="9" t="s">
        <v>455</v>
      </c>
      <c r="B9" s="10">
        <v>200000</v>
      </c>
      <c r="C9" s="7" t="s">
        <v>456</v>
      </c>
      <c r="D9" s="16" t="s">
        <v>457</v>
      </c>
    </row>
    <row r="10" spans="1:4" x14ac:dyDescent="0.2">
      <c r="A10" s="29" t="s">
        <v>357</v>
      </c>
      <c r="B10" s="12">
        <f>SUM(B5:B9)</f>
        <v>229392</v>
      </c>
      <c r="C10" s="29"/>
      <c r="D10" s="29"/>
    </row>
    <row r="12" spans="1:4" x14ac:dyDescent="0.2">
      <c r="A12" s="9" t="s">
        <v>458</v>
      </c>
      <c r="B12" s="10">
        <v>10</v>
      </c>
      <c r="C12" s="7" t="s">
        <v>95</v>
      </c>
      <c r="D12" s="16" t="s">
        <v>459</v>
      </c>
    </row>
    <row r="13" spans="1:4" x14ac:dyDescent="0.2">
      <c r="A13" s="9" t="s">
        <v>460</v>
      </c>
      <c r="B13" s="11">
        <f>PreOp/AmortYrs</f>
        <v>22939.200000000001</v>
      </c>
      <c r="C13" s="7" t="s">
        <v>216</v>
      </c>
      <c r="D13" s="16"/>
    </row>
  </sheetData>
  <pageMargins left="0.3888888888888889" right="0.3888888888888889" top="0.5" bottom="0.5" header="0.3" footer="0.3"/>
  <pageSetup paperSize="9" scale="78" fitToHeight="0" orientation="landscape" verticalDpi="0" r:id="rId1"/>
  <headerFooter>
    <oddFooter>&amp;C&amp;P /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6D3DE-BE89-4DAD-996E-4A97A5D9C5D7}">
  <sheetPr>
    <tabColor rgb="FF375623"/>
    <pageSetUpPr fitToPage="1"/>
  </sheetPr>
  <dimension ref="A1:I42"/>
  <sheetViews>
    <sheetView showGridLines="0" rightToLeft="1" zoomScale="90" zoomScaleNormal="90" workbookViewId="0"/>
  </sheetViews>
  <sheetFormatPr defaultRowHeight="12.75" x14ac:dyDescent="0.2"/>
  <cols>
    <col min="1" max="1" width="36.7109375" style="1" customWidth="1"/>
    <col min="2" max="3" width="14.7109375" style="1" customWidth="1"/>
    <col min="4" max="4" width="10.7109375" style="1" customWidth="1"/>
    <col min="5" max="5" width="16.7109375" style="1" customWidth="1"/>
    <col min="6" max="7" width="18.7109375" style="1" customWidth="1"/>
    <col min="8" max="8" width="16.7109375" style="1" customWidth="1"/>
    <col min="9" max="9" width="62.7109375" style="1" customWidth="1"/>
    <col min="10" max="16384" width="9.140625" style="1"/>
  </cols>
  <sheetData>
    <row r="1" spans="1:9" ht="20.25" x14ac:dyDescent="0.2">
      <c r="A1" s="3" t="s">
        <v>461</v>
      </c>
    </row>
    <row r="2" spans="1:9" x14ac:dyDescent="0.2">
      <c r="A2" s="5" t="s">
        <v>462</v>
      </c>
    </row>
    <row r="4" spans="1:9" x14ac:dyDescent="0.2">
      <c r="A4" s="6" t="s">
        <v>463</v>
      </c>
      <c r="B4" s="6" t="s">
        <v>464</v>
      </c>
      <c r="C4" s="6" t="s">
        <v>465</v>
      </c>
      <c r="D4" s="6" t="s">
        <v>420</v>
      </c>
      <c r="E4" s="6" t="s">
        <v>466</v>
      </c>
      <c r="F4" s="6" t="s">
        <v>467</v>
      </c>
      <c r="G4" s="6" t="s">
        <v>468</v>
      </c>
      <c r="H4" s="6" t="s">
        <v>469</v>
      </c>
      <c r="I4" s="6" t="s">
        <v>58</v>
      </c>
    </row>
    <row r="5" spans="1:9" x14ac:dyDescent="0.2">
      <c r="A5" s="9" t="s">
        <v>470</v>
      </c>
      <c r="B5" s="7" t="s">
        <v>471</v>
      </c>
      <c r="C5" s="7" t="s">
        <v>472</v>
      </c>
      <c r="D5" s="10">
        <v>1</v>
      </c>
      <c r="E5" s="10">
        <v>1300</v>
      </c>
      <c r="F5" s="11">
        <f t="shared" ref="F5:F16" si="0">D5*E5</f>
        <v>1300</v>
      </c>
      <c r="G5" s="11">
        <f t="shared" ref="G5:G16" si="1">F5*12</f>
        <v>15600</v>
      </c>
      <c r="H5" s="10"/>
      <c r="I5" s="16"/>
    </row>
    <row r="6" spans="1:9" x14ac:dyDescent="0.2">
      <c r="A6" s="9" t="s">
        <v>473</v>
      </c>
      <c r="B6" s="7" t="s">
        <v>471</v>
      </c>
      <c r="C6" s="7" t="s">
        <v>472</v>
      </c>
      <c r="D6" s="10">
        <v>1</v>
      </c>
      <c r="E6" s="10">
        <v>500</v>
      </c>
      <c r="F6" s="11">
        <f t="shared" si="0"/>
        <v>500</v>
      </c>
      <c r="G6" s="11">
        <f t="shared" si="1"/>
        <v>6000</v>
      </c>
      <c r="H6" s="10"/>
      <c r="I6" s="16"/>
    </row>
    <row r="7" spans="1:9" x14ac:dyDescent="0.2">
      <c r="A7" s="9" t="s">
        <v>474</v>
      </c>
      <c r="B7" s="7" t="s">
        <v>471</v>
      </c>
      <c r="C7" s="7" t="s">
        <v>472</v>
      </c>
      <c r="D7" s="10">
        <v>1</v>
      </c>
      <c r="E7" s="10">
        <v>350</v>
      </c>
      <c r="F7" s="11">
        <f t="shared" si="0"/>
        <v>350</v>
      </c>
      <c r="G7" s="11">
        <f t="shared" si="1"/>
        <v>4200</v>
      </c>
      <c r="H7" s="10"/>
      <c r="I7" s="16"/>
    </row>
    <row r="8" spans="1:9" x14ac:dyDescent="0.2">
      <c r="A8" s="9" t="s">
        <v>475</v>
      </c>
      <c r="B8" s="7" t="s">
        <v>471</v>
      </c>
      <c r="C8" s="7" t="s">
        <v>472</v>
      </c>
      <c r="D8" s="10">
        <v>4</v>
      </c>
      <c r="E8" s="10">
        <v>325</v>
      </c>
      <c r="F8" s="11">
        <f t="shared" si="0"/>
        <v>1300</v>
      </c>
      <c r="G8" s="11">
        <f t="shared" si="1"/>
        <v>15600</v>
      </c>
      <c r="H8" s="10"/>
      <c r="I8" s="16" t="s">
        <v>476</v>
      </c>
    </row>
    <row r="9" spans="1:9" x14ac:dyDescent="0.2">
      <c r="A9" s="9" t="s">
        <v>477</v>
      </c>
      <c r="B9" s="7" t="s">
        <v>478</v>
      </c>
      <c r="C9" s="7" t="s">
        <v>472</v>
      </c>
      <c r="D9" s="10">
        <v>1</v>
      </c>
      <c r="E9" s="10">
        <v>800</v>
      </c>
      <c r="F9" s="11">
        <f t="shared" si="0"/>
        <v>800</v>
      </c>
      <c r="G9" s="11">
        <f t="shared" si="1"/>
        <v>9600</v>
      </c>
      <c r="H9" s="10"/>
      <c r="I9" s="16"/>
    </row>
    <row r="10" spans="1:9" x14ac:dyDescent="0.2">
      <c r="A10" s="9" t="s">
        <v>479</v>
      </c>
      <c r="B10" s="7" t="s">
        <v>478</v>
      </c>
      <c r="C10" s="7" t="s">
        <v>472</v>
      </c>
      <c r="D10" s="10">
        <v>1</v>
      </c>
      <c r="E10" s="10">
        <v>550</v>
      </c>
      <c r="F10" s="11">
        <f t="shared" si="0"/>
        <v>550</v>
      </c>
      <c r="G10" s="11">
        <f t="shared" si="1"/>
        <v>6600</v>
      </c>
      <c r="H10" s="10"/>
      <c r="I10" s="16"/>
    </row>
    <row r="11" spans="1:9" x14ac:dyDescent="0.2">
      <c r="A11" s="9" t="s">
        <v>480</v>
      </c>
      <c r="B11" s="7" t="s">
        <v>478</v>
      </c>
      <c r="C11" s="7" t="s">
        <v>472</v>
      </c>
      <c r="D11" s="10">
        <v>1</v>
      </c>
      <c r="E11" s="10">
        <v>450</v>
      </c>
      <c r="F11" s="11">
        <f t="shared" si="0"/>
        <v>450</v>
      </c>
      <c r="G11" s="11">
        <f t="shared" si="1"/>
        <v>5400</v>
      </c>
      <c r="H11" s="10"/>
      <c r="I11" s="16"/>
    </row>
    <row r="12" spans="1:9" x14ac:dyDescent="0.2">
      <c r="A12" s="9" t="s">
        <v>481</v>
      </c>
      <c r="B12" s="7" t="s">
        <v>478</v>
      </c>
      <c r="C12" s="7" t="s">
        <v>482</v>
      </c>
      <c r="D12" s="10">
        <v>5</v>
      </c>
      <c r="E12" s="10">
        <v>150</v>
      </c>
      <c r="F12" s="11">
        <f t="shared" si="0"/>
        <v>750</v>
      </c>
      <c r="G12" s="11">
        <f t="shared" si="1"/>
        <v>9000</v>
      </c>
      <c r="H12" s="10">
        <v>3</v>
      </c>
      <c r="I12" s="16" t="s">
        <v>483</v>
      </c>
    </row>
    <row r="13" spans="1:9" x14ac:dyDescent="0.2">
      <c r="A13" s="9" t="s">
        <v>484</v>
      </c>
      <c r="B13" s="7" t="s">
        <v>478</v>
      </c>
      <c r="C13" s="7" t="s">
        <v>482</v>
      </c>
      <c r="D13" s="10">
        <v>4</v>
      </c>
      <c r="E13" s="10">
        <v>250</v>
      </c>
      <c r="F13" s="11">
        <f t="shared" si="0"/>
        <v>1000</v>
      </c>
      <c r="G13" s="11">
        <f t="shared" si="1"/>
        <v>12000</v>
      </c>
      <c r="H13" s="10">
        <v>2</v>
      </c>
      <c r="I13" s="16" t="s">
        <v>485</v>
      </c>
    </row>
    <row r="14" spans="1:9" x14ac:dyDescent="0.2">
      <c r="A14" s="9" t="s">
        <v>486</v>
      </c>
      <c r="B14" s="7" t="s">
        <v>478</v>
      </c>
      <c r="C14" s="7" t="s">
        <v>482</v>
      </c>
      <c r="D14" s="10">
        <v>1</v>
      </c>
      <c r="E14" s="10">
        <v>250</v>
      </c>
      <c r="F14" s="11">
        <f t="shared" si="0"/>
        <v>250</v>
      </c>
      <c r="G14" s="11">
        <f t="shared" si="1"/>
        <v>3000</v>
      </c>
      <c r="H14" s="10">
        <v>2</v>
      </c>
      <c r="I14" s="16"/>
    </row>
    <row r="15" spans="1:9" x14ac:dyDescent="0.2">
      <c r="A15" s="9" t="s">
        <v>487</v>
      </c>
      <c r="B15" s="7" t="s">
        <v>478</v>
      </c>
      <c r="C15" s="7" t="s">
        <v>482</v>
      </c>
      <c r="D15" s="10">
        <v>1</v>
      </c>
      <c r="E15" s="10">
        <v>250</v>
      </c>
      <c r="F15" s="11">
        <f t="shared" si="0"/>
        <v>250</v>
      </c>
      <c r="G15" s="11">
        <f t="shared" si="1"/>
        <v>3000</v>
      </c>
      <c r="H15" s="10">
        <v>2</v>
      </c>
      <c r="I15" s="16"/>
    </row>
    <row r="16" spans="1:9" x14ac:dyDescent="0.2">
      <c r="A16" s="9" t="s">
        <v>488</v>
      </c>
      <c r="B16" s="7" t="s">
        <v>478</v>
      </c>
      <c r="C16" s="7" t="s">
        <v>482</v>
      </c>
      <c r="D16" s="10">
        <v>1</v>
      </c>
      <c r="E16" s="10">
        <v>170</v>
      </c>
      <c r="F16" s="11">
        <f t="shared" si="0"/>
        <v>170</v>
      </c>
      <c r="G16" s="11">
        <f t="shared" si="1"/>
        <v>2040</v>
      </c>
      <c r="H16" s="10">
        <v>3</v>
      </c>
      <c r="I16" s="16"/>
    </row>
    <row r="17" spans="1:9" x14ac:dyDescent="0.2">
      <c r="A17" s="29" t="s">
        <v>357</v>
      </c>
      <c r="B17" s="29"/>
      <c r="C17" s="29"/>
      <c r="D17" s="12">
        <f>SUM(D5:D16)</f>
        <v>22</v>
      </c>
      <c r="E17" s="29"/>
      <c r="F17" s="12">
        <f>SUM(F5:F16)</f>
        <v>7670</v>
      </c>
      <c r="G17" s="12">
        <f>SUM(G5:G16)</f>
        <v>92040</v>
      </c>
      <c r="H17" s="29"/>
      <c r="I17" s="29"/>
    </row>
    <row r="19" spans="1:9" x14ac:dyDescent="0.2">
      <c r="A19" s="15" t="s">
        <v>489</v>
      </c>
      <c r="B19" s="15"/>
      <c r="C19" s="15"/>
    </row>
    <row r="20" spans="1:9" x14ac:dyDescent="0.2">
      <c r="A20" s="9" t="s">
        <v>490</v>
      </c>
      <c r="B20" s="11">
        <f>SUMIF($C$5:$C$16,"عماني",$D$5:$D$16)</f>
        <v>10</v>
      </c>
      <c r="C20" s="7" t="s">
        <v>70</v>
      </c>
    </row>
    <row r="21" spans="1:9" x14ac:dyDescent="0.2">
      <c r="A21" s="9" t="s">
        <v>491</v>
      </c>
      <c r="B21" s="11">
        <f>SUMIF($C$5:$C$16,"وافد",$D$5:$D$16)</f>
        <v>12</v>
      </c>
      <c r="C21" s="7" t="s">
        <v>70</v>
      </c>
    </row>
    <row r="22" spans="1:9" x14ac:dyDescent="0.2">
      <c r="A22" s="9" t="s">
        <v>71</v>
      </c>
      <c r="B22" s="19">
        <f>B20/(B20+B21)</f>
        <v>0.45454545454545453</v>
      </c>
      <c r="C22" s="7" t="s">
        <v>72</v>
      </c>
    </row>
    <row r="23" spans="1:9" x14ac:dyDescent="0.2">
      <c r="A23" s="9" t="s">
        <v>492</v>
      </c>
      <c r="B23" s="11">
        <f>SUMIF($C$5:$C$16,"عماني",$G$5:$G$16)</f>
        <v>63000</v>
      </c>
      <c r="C23" s="7" t="s">
        <v>75</v>
      </c>
    </row>
    <row r="24" spans="1:9" x14ac:dyDescent="0.2">
      <c r="A24" s="9" t="s">
        <v>493</v>
      </c>
      <c r="B24" s="11">
        <f>SUMIF($C$5:$C$16,"وافد",$G$5:$G$16)</f>
        <v>29040</v>
      </c>
      <c r="C24" s="7" t="s">
        <v>75</v>
      </c>
    </row>
    <row r="25" spans="1:9" x14ac:dyDescent="0.2">
      <c r="A25" s="9" t="s">
        <v>494</v>
      </c>
      <c r="B25" s="11">
        <f>SUMIF($B$5:$B$16,"إدارية",$G$5:$G$16)</f>
        <v>41400</v>
      </c>
      <c r="C25" s="7" t="s">
        <v>75</v>
      </c>
    </row>
    <row r="26" spans="1:9" x14ac:dyDescent="0.2">
      <c r="A26" s="9" t="s">
        <v>495</v>
      </c>
      <c r="B26" s="11">
        <f>SUMIF($B$5:$B$16,"فنية",$G$5:$G$16)</f>
        <v>50640</v>
      </c>
      <c r="C26" s="7" t="s">
        <v>75</v>
      </c>
    </row>
    <row r="27" spans="1:9" x14ac:dyDescent="0.2">
      <c r="A27" s="9" t="s">
        <v>496</v>
      </c>
      <c r="B27" s="32" t="str">
        <f>IF(COUNTIFS($C$5:$C$16,"عماني",$E$5:$E$16,"&lt;"&amp;MinWage)=0,"مطابق","يوجد راتب أقل من الحد الأدنى")</f>
        <v>مطابق</v>
      </c>
      <c r="C27" s="9"/>
    </row>
    <row r="29" spans="1:9" x14ac:dyDescent="0.2">
      <c r="A29" s="15" t="s">
        <v>497</v>
      </c>
      <c r="B29" s="15"/>
      <c r="C29" s="15"/>
    </row>
    <row r="30" spans="1:9" x14ac:dyDescent="0.2">
      <c r="A30" s="9" t="s">
        <v>498</v>
      </c>
      <c r="B30" s="11">
        <f>B23*SPFOm</f>
        <v>9135</v>
      </c>
      <c r="C30" s="7" t="s">
        <v>75</v>
      </c>
    </row>
    <row r="31" spans="1:9" x14ac:dyDescent="0.2">
      <c r="A31" s="9" t="s">
        <v>499</v>
      </c>
      <c r="B31" s="11">
        <f>B24*SPFEx</f>
        <v>871.19999999999993</v>
      </c>
      <c r="C31" s="7" t="s">
        <v>75</v>
      </c>
    </row>
    <row r="32" spans="1:9" x14ac:dyDescent="0.2">
      <c r="A32" s="9" t="s">
        <v>500</v>
      </c>
      <c r="B32" s="11">
        <f>B24*EosRate</f>
        <v>2613.6</v>
      </c>
      <c r="C32" s="7" t="s">
        <v>75</v>
      </c>
    </row>
    <row r="33" spans="1:3" x14ac:dyDescent="0.2">
      <c r="A33" s="9" t="s">
        <v>501</v>
      </c>
      <c r="B33" s="11">
        <f>B21*ExpIns</f>
        <v>4800</v>
      </c>
      <c r="C33" s="7" t="s">
        <v>75</v>
      </c>
    </row>
    <row r="34" spans="1:3" x14ac:dyDescent="0.2">
      <c r="A34" s="29" t="s">
        <v>502</v>
      </c>
      <c r="B34" s="12">
        <f>SUM(B30:B33)</f>
        <v>17419.800000000003</v>
      </c>
      <c r="C34" s="29"/>
    </row>
    <row r="35" spans="1:3" x14ac:dyDescent="0.2">
      <c r="A35" s="5" t="s">
        <v>503</v>
      </c>
    </row>
    <row r="37" spans="1:3" x14ac:dyDescent="0.2">
      <c r="A37" s="15" t="s">
        <v>504</v>
      </c>
      <c r="B37" s="15"/>
      <c r="C37" s="15"/>
    </row>
    <row r="38" spans="1:3" x14ac:dyDescent="0.2">
      <c r="A38" s="9" t="s">
        <v>505</v>
      </c>
      <c r="B38" s="11">
        <f>SUMIF($H$5:$H$16,2,$D$5:$D$16)</f>
        <v>6</v>
      </c>
      <c r="C38" s="7" t="s">
        <v>506</v>
      </c>
    </row>
    <row r="39" spans="1:3" x14ac:dyDescent="0.2">
      <c r="A39" s="9" t="s">
        <v>507</v>
      </c>
      <c r="B39" s="11">
        <f>SUMIF($H$5:$H$16,3,$D$5:$D$16)</f>
        <v>6</v>
      </c>
      <c r="C39" s="7" t="s">
        <v>506</v>
      </c>
    </row>
    <row r="40" spans="1:3" x14ac:dyDescent="0.2">
      <c r="A40" s="9" t="s">
        <v>508</v>
      </c>
      <c r="B40" s="11">
        <f>B38*Permit2+B39*Permit3</f>
        <v>2712</v>
      </c>
      <c r="C40" s="7" t="s">
        <v>75</v>
      </c>
    </row>
    <row r="41" spans="1:3" x14ac:dyDescent="0.2">
      <c r="A41" s="9" t="s">
        <v>509</v>
      </c>
      <c r="B41" s="11">
        <f>B21*PermitOther</f>
        <v>480</v>
      </c>
      <c r="C41" s="7" t="s">
        <v>75</v>
      </c>
    </row>
    <row r="42" spans="1:3" x14ac:dyDescent="0.2">
      <c r="A42" s="29" t="s">
        <v>510</v>
      </c>
      <c r="B42" s="12">
        <f>B40+B41</f>
        <v>3192</v>
      </c>
      <c r="C42" s="29"/>
    </row>
  </sheetData>
  <pageMargins left="0.3888888888888889" right="0.3888888888888889" top="0.5" bottom="0.5" header="0.3" footer="0.3"/>
  <pageSetup paperSize="9" scale="67" fitToHeight="0" orientation="landscape" verticalDpi="0" r:id="rId1"/>
  <headerFooter>
    <oddFooter>&amp;C&amp;P /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7E538-F61A-4DD8-B073-2C4D417DC98B}">
  <sheetPr>
    <tabColor rgb="FF375623"/>
    <pageSetUpPr fitToPage="1"/>
  </sheetPr>
  <dimension ref="A1:F18"/>
  <sheetViews>
    <sheetView showGridLines="0" rightToLeft="1" zoomScale="90" zoomScaleNormal="90" workbookViewId="0"/>
  </sheetViews>
  <sheetFormatPr defaultRowHeight="12.75" x14ac:dyDescent="0.2"/>
  <cols>
    <col min="1" max="1" width="42.7109375" style="1" customWidth="1"/>
    <col min="2" max="2" width="10.7109375" style="1" customWidth="1"/>
    <col min="3" max="3" width="20.7109375" style="1" customWidth="1"/>
    <col min="4" max="4" width="14.7109375" style="1" customWidth="1"/>
    <col min="5" max="5" width="18.7109375" style="1" customWidth="1"/>
    <col min="6" max="6" width="70.7109375" style="1" customWidth="1"/>
    <col min="7" max="16384" width="9.140625" style="1"/>
  </cols>
  <sheetData>
    <row r="1" spans="1:6" ht="20.25" x14ac:dyDescent="0.2">
      <c r="A1" s="3" t="s">
        <v>511</v>
      </c>
    </row>
    <row r="2" spans="1:6" x14ac:dyDescent="0.2">
      <c r="A2" s="5" t="s">
        <v>512</v>
      </c>
    </row>
    <row r="4" spans="1:6" x14ac:dyDescent="0.2">
      <c r="A4" s="6" t="s">
        <v>107</v>
      </c>
      <c r="B4" s="6" t="s">
        <v>420</v>
      </c>
      <c r="C4" s="6" t="s">
        <v>513</v>
      </c>
      <c r="D4" s="6" t="s">
        <v>514</v>
      </c>
      <c r="E4" s="6" t="s">
        <v>468</v>
      </c>
      <c r="F4" s="6" t="s">
        <v>286</v>
      </c>
    </row>
    <row r="5" spans="1:6" x14ac:dyDescent="0.2">
      <c r="A5" s="15" t="s">
        <v>515</v>
      </c>
      <c r="B5" s="15"/>
      <c r="C5" s="15"/>
      <c r="D5" s="15"/>
      <c r="E5" s="15"/>
      <c r="F5" s="15"/>
    </row>
    <row r="6" spans="1:6" x14ac:dyDescent="0.2">
      <c r="A6" s="9" t="s">
        <v>516</v>
      </c>
      <c r="B6" s="10">
        <v>1</v>
      </c>
      <c r="C6" s="10">
        <v>200</v>
      </c>
      <c r="D6" s="10">
        <v>12</v>
      </c>
      <c r="E6" s="11">
        <f t="shared" ref="E6:E8" si="0">B6*C6*D6</f>
        <v>2400</v>
      </c>
      <c r="F6" s="16" t="s">
        <v>113</v>
      </c>
    </row>
    <row r="7" spans="1:6" x14ac:dyDescent="0.2">
      <c r="A7" s="9" t="s">
        <v>517</v>
      </c>
      <c r="B7" s="10">
        <v>1</v>
      </c>
      <c r="C7" s="10">
        <v>250</v>
      </c>
      <c r="D7" s="10">
        <v>12</v>
      </c>
      <c r="E7" s="11">
        <f t="shared" si="0"/>
        <v>3000</v>
      </c>
      <c r="F7" s="16" t="s">
        <v>113</v>
      </c>
    </row>
    <row r="8" spans="1:6" x14ac:dyDescent="0.2">
      <c r="A8" s="9" t="s">
        <v>518</v>
      </c>
      <c r="B8" s="10">
        <v>1</v>
      </c>
      <c r="C8" s="10">
        <v>400</v>
      </c>
      <c r="D8" s="10">
        <v>12</v>
      </c>
      <c r="E8" s="11">
        <f t="shared" si="0"/>
        <v>4800</v>
      </c>
      <c r="F8" s="16" t="s">
        <v>113</v>
      </c>
    </row>
    <row r="9" spans="1:6" x14ac:dyDescent="0.2">
      <c r="A9" s="29" t="s">
        <v>519</v>
      </c>
      <c r="B9" s="29"/>
      <c r="C9" s="29"/>
      <c r="D9" s="29"/>
      <c r="E9" s="12">
        <f>SUM(E6:E8)</f>
        <v>10200</v>
      </c>
      <c r="F9" s="29"/>
    </row>
    <row r="10" spans="1:6" x14ac:dyDescent="0.2">
      <c r="A10" s="15" t="s">
        <v>520</v>
      </c>
      <c r="B10" s="15"/>
      <c r="C10" s="15"/>
      <c r="D10" s="15"/>
      <c r="E10" s="15"/>
      <c r="F10" s="15"/>
    </row>
    <row r="11" spans="1:6" x14ac:dyDescent="0.2">
      <c r="A11" s="9" t="s">
        <v>521</v>
      </c>
      <c r="B11" s="10">
        <v>1</v>
      </c>
      <c r="C11" s="10">
        <v>250</v>
      </c>
      <c r="D11" s="10">
        <v>12</v>
      </c>
      <c r="E11" s="11">
        <f t="shared" ref="E11:E15" si="1">B11*C11*D11</f>
        <v>3000</v>
      </c>
      <c r="F11" s="16" t="s">
        <v>113</v>
      </c>
    </row>
    <row r="12" spans="1:6" x14ac:dyDescent="0.2">
      <c r="A12" s="9" t="s">
        <v>522</v>
      </c>
      <c r="B12" s="10">
        <v>1</v>
      </c>
      <c r="C12" s="10">
        <v>2080</v>
      </c>
      <c r="D12" s="10">
        <v>12</v>
      </c>
      <c r="E12" s="11">
        <f t="shared" si="1"/>
        <v>24960</v>
      </c>
      <c r="F12" s="16" t="s">
        <v>113</v>
      </c>
    </row>
    <row r="13" spans="1:6" x14ac:dyDescent="0.2">
      <c r="A13" s="9" t="s">
        <v>523</v>
      </c>
      <c r="B13" s="10">
        <v>1</v>
      </c>
      <c r="C13" s="10">
        <v>40</v>
      </c>
      <c r="D13" s="10">
        <v>12</v>
      </c>
      <c r="E13" s="11">
        <f t="shared" si="1"/>
        <v>480</v>
      </c>
      <c r="F13" s="16" t="s">
        <v>113</v>
      </c>
    </row>
    <row r="14" spans="1:6" x14ac:dyDescent="0.2">
      <c r="A14" s="9" t="s">
        <v>524</v>
      </c>
      <c r="B14" s="10">
        <v>1</v>
      </c>
      <c r="C14" s="10">
        <v>2080</v>
      </c>
      <c r="D14" s="10">
        <v>12</v>
      </c>
      <c r="E14" s="11">
        <f t="shared" si="1"/>
        <v>24960</v>
      </c>
      <c r="F14" s="16" t="s">
        <v>525</v>
      </c>
    </row>
    <row r="15" spans="1:6" x14ac:dyDescent="0.2">
      <c r="A15" s="9" t="s">
        <v>526</v>
      </c>
      <c r="B15" s="10">
        <v>1</v>
      </c>
      <c r="C15" s="10">
        <v>1000</v>
      </c>
      <c r="D15" s="10">
        <v>12</v>
      </c>
      <c r="E15" s="11">
        <f t="shared" si="1"/>
        <v>12000</v>
      </c>
      <c r="F15" s="16" t="s">
        <v>527</v>
      </c>
    </row>
    <row r="16" spans="1:6" x14ac:dyDescent="0.2">
      <c r="A16" s="29" t="s">
        <v>528</v>
      </c>
      <c r="B16" s="29"/>
      <c r="C16" s="29"/>
      <c r="D16" s="29"/>
      <c r="E16" s="12">
        <f>SUM(E11:E15)</f>
        <v>65400</v>
      </c>
      <c r="F16" s="29"/>
    </row>
    <row r="18" spans="1:5" x14ac:dyDescent="0.2">
      <c r="A18" s="32" t="s">
        <v>529</v>
      </c>
      <c r="E18" s="13">
        <f>SiteRent+EquipRent</f>
        <v>75600</v>
      </c>
    </row>
  </sheetData>
  <pageMargins left="0.3888888888888889" right="0.3888888888888889" top="0.5" bottom="0.5" header="0.3" footer="0.3"/>
  <pageSetup paperSize="9" scale="79" fitToHeight="0" orientation="landscape" verticalDpi="0" r:id="rId1"/>
  <headerFooter>
    <oddFooter>&amp;C&amp;P /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01CC2F-663C-4D36-9947-054BFF18DBE1}">
  <sheetPr>
    <tabColor rgb="FF375623"/>
    <pageSetUpPr fitToPage="1"/>
  </sheetPr>
  <dimension ref="A1:H23"/>
  <sheetViews>
    <sheetView showGridLines="0" rightToLeft="1" zoomScale="90" zoomScaleNormal="90" workbookViewId="0"/>
  </sheetViews>
  <sheetFormatPr defaultRowHeight="12.75" x14ac:dyDescent="0.2"/>
  <cols>
    <col min="1" max="1" width="44.7109375" style="1" customWidth="1"/>
    <col min="2" max="3" width="16.7109375" style="1" customWidth="1"/>
    <col min="4" max="6" width="18.7109375" style="1" customWidth="1"/>
    <col min="7" max="7" width="12.7109375" style="1" customWidth="1"/>
    <col min="8" max="8" width="62.7109375" style="1" customWidth="1"/>
    <col min="9" max="16384" width="9.140625" style="1"/>
  </cols>
  <sheetData>
    <row r="1" spans="1:8" ht="20.25" x14ac:dyDescent="0.2">
      <c r="A1" s="3" t="s">
        <v>530</v>
      </c>
    </row>
    <row r="2" spans="1:8" x14ac:dyDescent="0.2">
      <c r="A2" s="5" t="s">
        <v>531</v>
      </c>
    </row>
    <row r="4" spans="1:8" x14ac:dyDescent="0.2">
      <c r="A4" s="6" t="s">
        <v>532</v>
      </c>
      <c r="B4" s="6" t="s">
        <v>533</v>
      </c>
      <c r="C4" s="6" t="s">
        <v>534</v>
      </c>
      <c r="D4" s="6" t="s">
        <v>535</v>
      </c>
      <c r="E4" s="6" t="s">
        <v>536</v>
      </c>
      <c r="F4" s="6" t="s">
        <v>537</v>
      </c>
      <c r="G4" s="6" t="s">
        <v>538</v>
      </c>
      <c r="H4" s="6" t="s">
        <v>58</v>
      </c>
    </row>
    <row r="5" spans="1:8" x14ac:dyDescent="0.2">
      <c r="A5" s="15" t="s">
        <v>539</v>
      </c>
      <c r="B5" s="15"/>
      <c r="C5" s="15"/>
      <c r="D5" s="15"/>
      <c r="E5" s="15"/>
      <c r="F5" s="15"/>
      <c r="G5" s="15"/>
      <c r="H5" s="15"/>
    </row>
    <row r="6" spans="1:8" x14ac:dyDescent="0.2">
      <c r="A6" s="9" t="s">
        <v>540</v>
      </c>
      <c r="B6" s="11">
        <f>'الأصول والإهلاك'!B5</f>
        <v>2</v>
      </c>
      <c r="C6" s="28">
        <v>28</v>
      </c>
      <c r="D6" s="11">
        <f>OpHours</f>
        <v>1800</v>
      </c>
      <c r="E6" s="11">
        <f t="shared" ref="E6:E11" si="0">B6*C6*D6</f>
        <v>100800</v>
      </c>
      <c r="F6" s="11">
        <f>E6*DieselPrice</f>
        <v>26006.400000000001</v>
      </c>
      <c r="G6" s="7" t="s">
        <v>541</v>
      </c>
      <c r="H6" s="16" t="s">
        <v>542</v>
      </c>
    </row>
    <row r="7" spans="1:8" x14ac:dyDescent="0.2">
      <c r="A7" s="9" t="s">
        <v>543</v>
      </c>
      <c r="B7" s="11">
        <f>الإيجارات!B12</f>
        <v>1</v>
      </c>
      <c r="C7" s="28">
        <v>18</v>
      </c>
      <c r="D7" s="11">
        <f>OpHours</f>
        <v>1800</v>
      </c>
      <c r="E7" s="11">
        <f t="shared" si="0"/>
        <v>32400</v>
      </c>
      <c r="F7" s="11">
        <f>E7*DieselPrice</f>
        <v>8359.2000000000007</v>
      </c>
      <c r="G7" s="7" t="s">
        <v>541</v>
      </c>
      <c r="H7" s="16"/>
    </row>
    <row r="8" spans="1:8" x14ac:dyDescent="0.2">
      <c r="A8" s="9" t="s">
        <v>544</v>
      </c>
      <c r="B8" s="11">
        <f>الإيجارات!B14</f>
        <v>1</v>
      </c>
      <c r="C8" s="28">
        <v>16</v>
      </c>
      <c r="D8" s="11">
        <f>OpHours</f>
        <v>1800</v>
      </c>
      <c r="E8" s="11">
        <f t="shared" si="0"/>
        <v>28800</v>
      </c>
      <c r="F8" s="11">
        <f>E8*DieselPrice</f>
        <v>7430.4000000000005</v>
      </c>
      <c r="G8" s="7" t="s">
        <v>541</v>
      </c>
      <c r="H8" s="16"/>
    </row>
    <row r="9" spans="1:8" x14ac:dyDescent="0.2">
      <c r="A9" s="9" t="s">
        <v>545</v>
      </c>
      <c r="B9" s="11">
        <f>الإيجارات!B15</f>
        <v>1</v>
      </c>
      <c r="C9" s="28">
        <v>10</v>
      </c>
      <c r="D9" s="11">
        <f>OpHours</f>
        <v>1800</v>
      </c>
      <c r="E9" s="11">
        <f t="shared" si="0"/>
        <v>18000</v>
      </c>
      <c r="F9" s="11">
        <f>E9*DieselPrice</f>
        <v>4644</v>
      </c>
      <c r="G9" s="7" t="s">
        <v>541</v>
      </c>
      <c r="H9" s="16"/>
    </row>
    <row r="10" spans="1:8" x14ac:dyDescent="0.2">
      <c r="A10" s="9" t="s">
        <v>523</v>
      </c>
      <c r="B10" s="11">
        <f>الإيجارات!B13</f>
        <v>1</v>
      </c>
      <c r="C10" s="28">
        <v>3</v>
      </c>
      <c r="D10" s="10">
        <v>4380</v>
      </c>
      <c r="E10" s="11">
        <f t="shared" si="0"/>
        <v>13140</v>
      </c>
      <c r="F10" s="11">
        <f>E10*DieselPrice</f>
        <v>3390.12</v>
      </c>
      <c r="G10" s="7" t="s">
        <v>546</v>
      </c>
      <c r="H10" s="16" t="s">
        <v>547</v>
      </c>
    </row>
    <row r="11" spans="1:8" x14ac:dyDescent="0.2">
      <c r="A11" s="9" t="s">
        <v>548</v>
      </c>
      <c r="B11" s="11">
        <f>الإيجارات!B11</f>
        <v>1</v>
      </c>
      <c r="C11" s="28">
        <v>1.25</v>
      </c>
      <c r="D11" s="11">
        <f>WorkDays*ShiftHrs</f>
        <v>2400</v>
      </c>
      <c r="E11" s="11">
        <f t="shared" si="0"/>
        <v>3000</v>
      </c>
      <c r="F11" s="11">
        <f>E11*DieselPrice</f>
        <v>774</v>
      </c>
      <c r="G11" s="7" t="s">
        <v>546</v>
      </c>
      <c r="H11" s="16" t="s">
        <v>549</v>
      </c>
    </row>
    <row r="12" spans="1:8" x14ac:dyDescent="0.2">
      <c r="A12" s="29" t="s">
        <v>550</v>
      </c>
      <c r="B12" s="29"/>
      <c r="C12" s="29"/>
      <c r="D12" s="29"/>
      <c r="E12" s="12">
        <f>SUM(E6:E11)</f>
        <v>196140</v>
      </c>
      <c r="F12" s="12">
        <f>SUM(F6:F11)</f>
        <v>50604.12000000001</v>
      </c>
      <c r="G12" s="29"/>
      <c r="H12" s="29"/>
    </row>
    <row r="13" spans="1:8" x14ac:dyDescent="0.2">
      <c r="A13" s="15" t="s">
        <v>551</v>
      </c>
      <c r="B13" s="15"/>
      <c r="C13" s="15"/>
      <c r="D13" s="15"/>
      <c r="E13" s="15"/>
      <c r="F13" s="15"/>
      <c r="G13" s="15"/>
      <c r="H13" s="15"/>
    </row>
    <row r="14" spans="1:8" x14ac:dyDescent="0.2">
      <c r="A14" s="9" t="s">
        <v>552</v>
      </c>
      <c r="B14" s="7" t="s">
        <v>553</v>
      </c>
      <c r="C14" s="38">
        <v>0.1</v>
      </c>
      <c r="D14" s="9"/>
      <c r="E14" s="9"/>
      <c r="F14" s="11">
        <f>C14*F12</f>
        <v>5060.4120000000012</v>
      </c>
      <c r="G14" s="7" t="s">
        <v>541</v>
      </c>
      <c r="H14" s="16" t="s">
        <v>203</v>
      </c>
    </row>
    <row r="15" spans="1:8" x14ac:dyDescent="0.2">
      <c r="A15" s="9" t="s">
        <v>554</v>
      </c>
      <c r="B15" s="7" t="s">
        <v>555</v>
      </c>
      <c r="C15" s="25">
        <v>0.06</v>
      </c>
      <c r="D15" s="9"/>
      <c r="E15" s="9"/>
      <c r="F15" s="11">
        <f>C15*RockCap</f>
        <v>7560</v>
      </c>
      <c r="G15" s="7" t="s">
        <v>541</v>
      </c>
      <c r="H15" s="16" t="s">
        <v>203</v>
      </c>
    </row>
    <row r="16" spans="1:8" x14ac:dyDescent="0.2">
      <c r="A16" s="9" t="s">
        <v>556</v>
      </c>
      <c r="B16" s="7" t="s">
        <v>216</v>
      </c>
      <c r="C16" s="10">
        <v>3600</v>
      </c>
      <c r="D16" s="9"/>
      <c r="E16" s="9"/>
      <c r="F16" s="11">
        <f>C16</f>
        <v>3600</v>
      </c>
      <c r="G16" s="7" t="s">
        <v>541</v>
      </c>
      <c r="H16" s="16" t="s">
        <v>203</v>
      </c>
    </row>
    <row r="17" spans="1:8" x14ac:dyDescent="0.2">
      <c r="A17" s="9" t="s">
        <v>557</v>
      </c>
      <c r="B17" s="7" t="s">
        <v>216</v>
      </c>
      <c r="C17" s="10">
        <v>1500</v>
      </c>
      <c r="D17" s="9"/>
      <c r="E17" s="9"/>
      <c r="F17" s="11">
        <f>C17</f>
        <v>1500</v>
      </c>
      <c r="G17" s="7" t="s">
        <v>546</v>
      </c>
      <c r="H17" s="16" t="s">
        <v>203</v>
      </c>
    </row>
    <row r="18" spans="1:8" x14ac:dyDescent="0.2">
      <c r="A18" s="9" t="s">
        <v>558</v>
      </c>
      <c r="B18" s="7" t="s">
        <v>205</v>
      </c>
      <c r="C18" s="10">
        <v>250</v>
      </c>
      <c r="D18" s="9"/>
      <c r="E18" s="9"/>
      <c r="F18" s="11">
        <f>C18*12</f>
        <v>3000</v>
      </c>
      <c r="G18" s="7" t="s">
        <v>546</v>
      </c>
      <c r="H18" s="16" t="s">
        <v>203</v>
      </c>
    </row>
    <row r="19" spans="1:8" x14ac:dyDescent="0.2">
      <c r="A19" s="9" t="s">
        <v>559</v>
      </c>
      <c r="B19" s="7" t="s">
        <v>560</v>
      </c>
      <c r="C19" s="10">
        <v>25</v>
      </c>
      <c r="D19" s="9"/>
      <c r="E19" s="9"/>
      <c r="F19" s="11">
        <f>C19*12*'الموارد البشرية'!B21</f>
        <v>3600</v>
      </c>
      <c r="G19" s="7" t="s">
        <v>546</v>
      </c>
      <c r="H19" s="16" t="s">
        <v>561</v>
      </c>
    </row>
    <row r="20" spans="1:8" x14ac:dyDescent="0.2">
      <c r="A20" s="29" t="s">
        <v>562</v>
      </c>
      <c r="B20" s="29"/>
      <c r="C20" s="29"/>
      <c r="D20" s="29"/>
      <c r="E20" s="29"/>
      <c r="F20" s="12">
        <f>F12+SUM(F14:F19)</f>
        <v>74924.532000000007</v>
      </c>
      <c r="G20" s="29"/>
      <c r="H20" s="29"/>
    </row>
    <row r="21" spans="1:8" x14ac:dyDescent="0.2">
      <c r="A21" s="9" t="s">
        <v>563</v>
      </c>
      <c r="F21" s="11">
        <f>SUMIF(G6:G19,"متغير",F6:F19)</f>
        <v>62660.412000000011</v>
      </c>
    </row>
    <row r="22" spans="1:8" x14ac:dyDescent="0.2">
      <c r="A22" s="9" t="s">
        <v>564</v>
      </c>
      <c r="F22" s="11">
        <f>SUMIF(G6:G19,"ثابت",F6:F19)</f>
        <v>12264.119999999999</v>
      </c>
    </row>
    <row r="23" spans="1:8" x14ac:dyDescent="0.2">
      <c r="A23" s="9" t="s">
        <v>565</v>
      </c>
      <c r="F23" s="11">
        <v>84691.199999999997</v>
      </c>
      <c r="H23" s="16" t="s">
        <v>566</v>
      </c>
    </row>
  </sheetData>
  <pageMargins left="0.3888888888888889" right="0.3888888888888889" top="0.5" bottom="0.5" header="0.3" footer="0.3"/>
  <pageSetup paperSize="9" scale="67" fitToHeight="0" orientation="landscape" verticalDpi="0" r:id="rId1"/>
  <headerFooter>
    <oddFooter>&amp;C&amp;P /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407D51-9DA7-42FD-B4BE-5C1E724B1B02}">
  <sheetPr>
    <tabColor rgb="FF00B050"/>
    <pageSetUpPr fitToPage="1"/>
  </sheetPr>
  <dimension ref="A1:N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30</v>
      </c>
    </row>
    <row r="2" spans="1:14" x14ac:dyDescent="0.2">
      <c r="A2" s="5" t="s">
        <v>567</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9" t="s">
        <v>568</v>
      </c>
      <c r="B5" s="7" t="s">
        <v>289</v>
      </c>
      <c r="C5" s="11"/>
      <c r="D5" s="11">
        <f>'الخطة الفنية والإنتاج'!D18</f>
        <v>8330</v>
      </c>
      <c r="E5" s="11">
        <f>'الخطة الفنية والإنتاج'!E18</f>
        <v>10710</v>
      </c>
      <c r="F5" s="11">
        <f>'الخطة الفنية والإنتاج'!F18</f>
        <v>11900</v>
      </c>
      <c r="G5" s="11">
        <f>'الخطة الفنية والإنتاج'!G18</f>
        <v>11900</v>
      </c>
      <c r="H5" s="11">
        <f>'الخطة الفنية والإنتاج'!H18</f>
        <v>11900</v>
      </c>
      <c r="I5" s="11">
        <f>'الخطة الفنية والإنتاج'!I18</f>
        <v>11900</v>
      </c>
      <c r="J5" s="11">
        <f>'الخطة الفنية والإنتاج'!J18</f>
        <v>11900</v>
      </c>
      <c r="K5" s="11">
        <f>'الخطة الفنية والإنتاج'!K18</f>
        <v>11900</v>
      </c>
      <c r="L5" s="11">
        <f>'الخطة الفنية والإنتاج'!L18</f>
        <v>11900</v>
      </c>
      <c r="M5" s="11">
        <f>'الخطة الفنية والإنتاج'!M18</f>
        <v>11900</v>
      </c>
      <c r="N5" s="12">
        <f>SUM(D5:M5)</f>
        <v>114240</v>
      </c>
    </row>
    <row r="6" spans="1:14" x14ac:dyDescent="0.2">
      <c r="A6" s="9" t="s">
        <v>66</v>
      </c>
      <c r="B6" s="7" t="s">
        <v>156</v>
      </c>
      <c r="C6" s="18"/>
      <c r="D6" s="18">
        <f>SalePrice*F_Price*(1+PriceG)^(D$4-1)</f>
        <v>47.268830967741934</v>
      </c>
      <c r="E6" s="18">
        <f>SalePrice*F_Price*(1+PriceG)^(E$4-1)</f>
        <v>47.268830967741934</v>
      </c>
      <c r="F6" s="18">
        <f>SalePrice*F_Price*(1+PriceG)^(F$4-1)</f>
        <v>47.268830967741934</v>
      </c>
      <c r="G6" s="18">
        <f>SalePrice*F_Price*(1+PriceG)^(G$4-1)</f>
        <v>47.268830967741934</v>
      </c>
      <c r="H6" s="18">
        <f>SalePrice*F_Price*(1+PriceG)^(H$4-1)</f>
        <v>47.268830967741934</v>
      </c>
      <c r="I6" s="18">
        <f>SalePrice*F_Price*(1+PriceG)^(I$4-1)</f>
        <v>47.268830967741934</v>
      </c>
      <c r="J6" s="18">
        <f>SalePrice*F_Price*(1+PriceG)^(J$4-1)</f>
        <v>47.268830967741934</v>
      </c>
      <c r="K6" s="18">
        <f>SalePrice*F_Price*(1+PriceG)^(K$4-1)</f>
        <v>47.268830967741934</v>
      </c>
      <c r="L6" s="18">
        <f>SalePrice*F_Price*(1+PriceG)^(L$4-1)</f>
        <v>47.268830967741934</v>
      </c>
      <c r="M6" s="18">
        <f>SalePrice*F_Price*(1+PriceG)^(M$4-1)</f>
        <v>47.268830967741934</v>
      </c>
      <c r="N6" s="18"/>
    </row>
    <row r="7" spans="1:14" x14ac:dyDescent="0.2">
      <c r="A7" s="32" t="s">
        <v>569</v>
      </c>
      <c r="B7" s="7" t="s">
        <v>75</v>
      </c>
      <c r="C7" s="12"/>
      <c r="D7" s="13">
        <f t="shared" ref="D7:M7" si="0">D5*D6</f>
        <v>393749.3619612903</v>
      </c>
      <c r="E7" s="13">
        <f t="shared" si="0"/>
        <v>506249.17966451612</v>
      </c>
      <c r="F7" s="13">
        <f t="shared" si="0"/>
        <v>562499.08851612906</v>
      </c>
      <c r="G7" s="13">
        <f t="shared" si="0"/>
        <v>562499.08851612906</v>
      </c>
      <c r="H7" s="13">
        <f t="shared" si="0"/>
        <v>562499.08851612906</v>
      </c>
      <c r="I7" s="13">
        <f t="shared" si="0"/>
        <v>562499.08851612906</v>
      </c>
      <c r="J7" s="13">
        <f t="shared" si="0"/>
        <v>562499.08851612906</v>
      </c>
      <c r="K7" s="13">
        <f t="shared" si="0"/>
        <v>562499.08851612906</v>
      </c>
      <c r="L7" s="13">
        <f t="shared" si="0"/>
        <v>562499.08851612906</v>
      </c>
      <c r="M7" s="13">
        <f t="shared" si="0"/>
        <v>562499.08851612906</v>
      </c>
      <c r="N7" s="12">
        <f>SUM(D7:M7)</f>
        <v>5399991.2497548396</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CC4AD-6C05-45D2-9A9C-F43D92B02BEF}">
  <sheetPr>
    <tabColor rgb="FFC00000"/>
    <pageSetUpPr fitToPage="1"/>
  </sheetPr>
  <dimension ref="A1:N30"/>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570</v>
      </c>
    </row>
    <row r="2" spans="1:14" x14ac:dyDescent="0.2">
      <c r="A2" s="5" t="s">
        <v>571</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9" t="s">
        <v>572</v>
      </c>
      <c r="B5" s="7" t="s">
        <v>573</v>
      </c>
      <c r="C5" s="44"/>
      <c r="D5" s="44">
        <f>(1+InflRate)^(D$4-1)</f>
        <v>1</v>
      </c>
      <c r="E5" s="44">
        <f>(1+InflRate)^(E$4-1)</f>
        <v>1.0149999999999999</v>
      </c>
      <c r="F5" s="44">
        <f>(1+InflRate)^(F$4-1)</f>
        <v>1.0302249999999997</v>
      </c>
      <c r="G5" s="44">
        <f>(1+InflRate)^(G$4-1)</f>
        <v>1.0456783749999996</v>
      </c>
      <c r="H5" s="44">
        <f>(1+InflRate)^(H$4-1)</f>
        <v>1.0613635506249994</v>
      </c>
      <c r="I5" s="44">
        <f>(1+InflRate)^(I$4-1)</f>
        <v>1.0772840038843743</v>
      </c>
      <c r="J5" s="44">
        <f>(1+InflRate)^(J$4-1)</f>
        <v>1.0934432639426397</v>
      </c>
      <c r="K5" s="44">
        <f>(1+InflRate)^(K$4-1)</f>
        <v>1.1098449129017791</v>
      </c>
      <c r="L5" s="44">
        <f>(1+InflRate)^(L$4-1)</f>
        <v>1.1264925865953057</v>
      </c>
      <c r="M5" s="44">
        <f>(1+InflRate)^(M$4-1)</f>
        <v>1.1433899753942351</v>
      </c>
      <c r="N5" s="11"/>
    </row>
    <row r="6" spans="1:14" x14ac:dyDescent="0.2">
      <c r="A6" s="9" t="s">
        <v>358</v>
      </c>
      <c r="B6" s="7" t="s">
        <v>72</v>
      </c>
      <c r="C6" s="45"/>
      <c r="D6" s="45">
        <f>'الخطة الفنية والإنتاج'!D15</f>
        <v>0.7</v>
      </c>
      <c r="E6" s="45">
        <f>'الخطة الفنية والإنتاج'!E15</f>
        <v>0.9</v>
      </c>
      <c r="F6" s="45">
        <f>'الخطة الفنية والإنتاج'!F15</f>
        <v>1</v>
      </c>
      <c r="G6" s="45">
        <f>'الخطة الفنية والإنتاج'!G15</f>
        <v>1</v>
      </c>
      <c r="H6" s="45">
        <f>'الخطة الفنية والإنتاج'!H15</f>
        <v>1</v>
      </c>
      <c r="I6" s="45">
        <f>'الخطة الفنية والإنتاج'!I15</f>
        <v>1</v>
      </c>
      <c r="J6" s="45">
        <f>'الخطة الفنية والإنتاج'!J15</f>
        <v>1</v>
      </c>
      <c r="K6" s="45">
        <f>'الخطة الفنية والإنتاج'!K15</f>
        <v>1</v>
      </c>
      <c r="L6" s="45">
        <f>'الخطة الفنية والإنتاج'!L15</f>
        <v>1</v>
      </c>
      <c r="M6" s="45">
        <f>'الخطة الفنية والإنتاج'!M15</f>
        <v>1</v>
      </c>
      <c r="N6" s="11"/>
    </row>
    <row r="7" spans="1:14" x14ac:dyDescent="0.2">
      <c r="A7" s="15" t="s">
        <v>574</v>
      </c>
      <c r="B7" s="15"/>
      <c r="C7" s="15"/>
      <c r="D7" s="15"/>
      <c r="E7" s="15"/>
      <c r="F7" s="15"/>
      <c r="G7" s="15"/>
      <c r="H7" s="15"/>
      <c r="I7" s="15"/>
      <c r="J7" s="15"/>
      <c r="K7" s="15"/>
      <c r="L7" s="15"/>
      <c r="M7" s="15"/>
      <c r="N7" s="15"/>
    </row>
    <row r="8" spans="1:14" x14ac:dyDescent="0.2">
      <c r="A8" s="9" t="s">
        <v>575</v>
      </c>
      <c r="B8" s="7" t="s">
        <v>75</v>
      </c>
      <c r="C8" s="11"/>
      <c r="D8" s="11">
        <f>Payroll*D$5*F_Opex</f>
        <v>92040</v>
      </c>
      <c r="E8" s="11">
        <f>Payroll*E$5*F_Opex</f>
        <v>93420.599999999991</v>
      </c>
      <c r="F8" s="11">
        <f>Payroll*F$5*F_Opex</f>
        <v>94821.908999999971</v>
      </c>
      <c r="G8" s="11">
        <f>Payroll*G$5*F_Opex</f>
        <v>96244.237634999969</v>
      </c>
      <c r="H8" s="11">
        <f>Payroll*H$5*F_Opex</f>
        <v>97687.901199524946</v>
      </c>
      <c r="I8" s="11">
        <f>Payroll*I$5*F_Opex</f>
        <v>99153.219717517815</v>
      </c>
      <c r="J8" s="11">
        <f>Payroll*J$5*F_Opex</f>
        <v>100640.51801328055</v>
      </c>
      <c r="K8" s="11">
        <f>Payroll*K$5*F_Opex</f>
        <v>102150.12578347974</v>
      </c>
      <c r="L8" s="11">
        <f>Payroll*L$5*F_Opex</f>
        <v>103682.37767023194</v>
      </c>
      <c r="M8" s="11">
        <f>Payroll*M$5*F_Opex</f>
        <v>105237.61333528541</v>
      </c>
      <c r="N8" s="12">
        <f t="shared" ref="N8:N12" si="0">SUM(D8:M8)</f>
        <v>985078.50235432049</v>
      </c>
    </row>
    <row r="9" spans="1:14" x14ac:dyDescent="0.2">
      <c r="A9" s="9" t="s">
        <v>576</v>
      </c>
      <c r="B9" s="7" t="s">
        <v>75</v>
      </c>
      <c r="C9" s="11"/>
      <c r="D9" s="11">
        <f>StaffOnCost*D$5*F_Opex</f>
        <v>17419.800000000003</v>
      </c>
      <c r="E9" s="11">
        <f>StaffOnCost*E$5*F_Opex</f>
        <v>17681.097000000002</v>
      </c>
      <c r="F9" s="11">
        <f>StaffOnCost*F$5*F_Opex</f>
        <v>17946.313455</v>
      </c>
      <c r="G9" s="11">
        <f>StaffOnCost*G$5*F_Opex</f>
        <v>18215.508156824995</v>
      </c>
      <c r="H9" s="11">
        <f>StaffOnCost*H$5*F_Opex</f>
        <v>18488.740779177369</v>
      </c>
      <c r="I9" s="11">
        <f>StaffOnCost*I$5*F_Opex</f>
        <v>18766.071890865027</v>
      </c>
      <c r="J9" s="11">
        <f>StaffOnCost*J$5*F_Opex</f>
        <v>19047.562969227998</v>
      </c>
      <c r="K9" s="11">
        <f>StaffOnCost*K$5*F_Opex</f>
        <v>19333.276413766416</v>
      </c>
      <c r="L9" s="11">
        <f>StaffOnCost*L$5*F_Opex</f>
        <v>19623.27555997291</v>
      </c>
      <c r="M9" s="11">
        <f>StaffOnCost*M$5*F_Opex</f>
        <v>19917.624693372501</v>
      </c>
      <c r="N9" s="12">
        <f t="shared" si="0"/>
        <v>186439.27091820721</v>
      </c>
    </row>
    <row r="10" spans="1:14" x14ac:dyDescent="0.2">
      <c r="A10" s="9" t="s">
        <v>577</v>
      </c>
      <c r="B10" s="7" t="s">
        <v>75</v>
      </c>
      <c r="C10" s="11"/>
      <c r="D10" s="11">
        <f>SiteRent*D$5*F_Opex</f>
        <v>10200</v>
      </c>
      <c r="E10" s="11">
        <f>SiteRent*E$5*F_Opex</f>
        <v>10352.999999999998</v>
      </c>
      <c r="F10" s="11">
        <f>SiteRent*F$5*F_Opex</f>
        <v>10508.294999999996</v>
      </c>
      <c r="G10" s="11">
        <f>SiteRent*G$5*F_Opex</f>
        <v>10665.919424999996</v>
      </c>
      <c r="H10" s="11">
        <f>SiteRent*H$5*F_Opex</f>
        <v>10825.908216374994</v>
      </c>
      <c r="I10" s="11">
        <f>SiteRent*I$5*F_Opex</f>
        <v>10988.296839620618</v>
      </c>
      <c r="J10" s="11">
        <f>SiteRent*J$5*F_Opex</f>
        <v>11153.121292214924</v>
      </c>
      <c r="K10" s="11">
        <f>SiteRent*K$5*F_Opex</f>
        <v>11320.418111598146</v>
      </c>
      <c r="L10" s="11">
        <f>SiteRent*L$5*F_Opex</f>
        <v>11490.224383272118</v>
      </c>
      <c r="M10" s="11">
        <f>SiteRent*M$5*F_Opex</f>
        <v>11662.577749021199</v>
      </c>
      <c r="N10" s="12">
        <f t="shared" si="0"/>
        <v>109167.76101710199</v>
      </c>
    </row>
    <row r="11" spans="1:14" x14ac:dyDescent="0.2">
      <c r="A11" s="9" t="s">
        <v>578</v>
      </c>
      <c r="B11" s="7" t="s">
        <v>75</v>
      </c>
      <c r="C11" s="11"/>
      <c r="D11" s="11">
        <f>EquipRent*D$5*F_Opex</f>
        <v>65400</v>
      </c>
      <c r="E11" s="11">
        <f>EquipRent*E$5*F_Opex</f>
        <v>66381</v>
      </c>
      <c r="F11" s="11">
        <f>EquipRent*F$5*F_Opex</f>
        <v>67376.714999999982</v>
      </c>
      <c r="G11" s="11">
        <f>EquipRent*G$5*F_Opex</f>
        <v>68387.365724999967</v>
      </c>
      <c r="H11" s="11">
        <f>EquipRent*H$5*F_Opex</f>
        <v>69413.176210874968</v>
      </c>
      <c r="I11" s="11">
        <f>EquipRent*I$5*F_Opex</f>
        <v>70454.373854038073</v>
      </c>
      <c r="J11" s="11">
        <f>EquipRent*J$5*F_Opex</f>
        <v>71511.18946184864</v>
      </c>
      <c r="K11" s="11">
        <f>EquipRent*K$5*F_Opex</f>
        <v>72583.857303776356</v>
      </c>
      <c r="L11" s="11">
        <f>EquipRent*L$5*F_Opex</f>
        <v>73672.615163332986</v>
      </c>
      <c r="M11" s="11">
        <f>EquipRent*M$5*F_Opex</f>
        <v>74777.704390782979</v>
      </c>
      <c r="N11" s="12">
        <f t="shared" si="0"/>
        <v>699957.99710965401</v>
      </c>
    </row>
    <row r="12" spans="1:14" x14ac:dyDescent="0.2">
      <c r="A12" s="9" t="s">
        <v>579</v>
      </c>
      <c r="B12" s="7" t="s">
        <v>75</v>
      </c>
      <c r="C12" s="11"/>
      <c r="D12" s="11">
        <f>ConsFix*D$5*F_Opex</f>
        <v>12264.119999999999</v>
      </c>
      <c r="E12" s="11">
        <f>ConsFix*E$5*F_Opex</f>
        <v>12448.081799999998</v>
      </c>
      <c r="F12" s="11">
        <f>ConsFix*F$5*F_Opex</f>
        <v>12634.803026999996</v>
      </c>
      <c r="G12" s="11">
        <f>ConsFix*G$5*F_Opex</f>
        <v>12824.325072404994</v>
      </c>
      <c r="H12" s="11">
        <f>ConsFix*H$5*F_Opex</f>
        <v>13016.689948491066</v>
      </c>
      <c r="I12" s="11">
        <f>ConsFix*I$5*F_Opex</f>
        <v>13211.940297718431</v>
      </c>
      <c r="J12" s="11">
        <f>ConsFix*J$5*F_Opex</f>
        <v>13410.119402184206</v>
      </c>
      <c r="K12" s="11">
        <f>ConsFix*K$5*F_Opex</f>
        <v>13611.271193216966</v>
      </c>
      <c r="L12" s="11">
        <f>ConsFix*L$5*F_Opex</f>
        <v>13815.44026111522</v>
      </c>
      <c r="M12" s="11">
        <f>ConsFix*M$5*F_Opex</f>
        <v>14022.671865031945</v>
      </c>
      <c r="N12" s="12">
        <f t="shared" si="0"/>
        <v>131259.46286716283</v>
      </c>
    </row>
    <row r="13" spans="1:14" x14ac:dyDescent="0.2">
      <c r="A13" s="9" t="s">
        <v>580</v>
      </c>
      <c r="B13" s="7" t="s">
        <v>72</v>
      </c>
      <c r="C13" s="17"/>
      <c r="D13" s="26">
        <v>0.04</v>
      </c>
      <c r="E13" s="26">
        <v>0.04</v>
      </c>
      <c r="F13" s="26">
        <v>0.04</v>
      </c>
      <c r="G13" s="26">
        <v>0.06</v>
      </c>
      <c r="H13" s="26">
        <v>0.06</v>
      </c>
      <c r="I13" s="26">
        <v>0.06</v>
      </c>
      <c r="J13" s="26">
        <v>0.08</v>
      </c>
      <c r="K13" s="26">
        <v>0.08</v>
      </c>
      <c r="L13" s="26">
        <v>0.08</v>
      </c>
      <c r="M13" s="26">
        <v>0.08</v>
      </c>
      <c r="N13" s="11"/>
    </row>
    <row r="14" spans="1:14" x14ac:dyDescent="0.2">
      <c r="A14" s="9" t="s">
        <v>581</v>
      </c>
      <c r="B14" s="7" t="s">
        <v>75</v>
      </c>
      <c r="C14" s="11"/>
      <c r="D14" s="11">
        <f>'الأصول والإهلاك'!$D$5*D13*D$5*F_Opex</f>
        <v>8600</v>
      </c>
      <c r="E14" s="11">
        <f>'الأصول والإهلاك'!$D$5*E13*E$5*F_Opex</f>
        <v>8729</v>
      </c>
      <c r="F14" s="11">
        <f>'الأصول والإهلاك'!$D$5*F13*F$5*F_Opex</f>
        <v>8859.9349999999977</v>
      </c>
      <c r="G14" s="11">
        <f>'الأصول والإهلاك'!$D$5*G13*G$5*F_Opex</f>
        <v>13489.251037499995</v>
      </c>
      <c r="H14" s="11">
        <f>'الأصول والإهلاك'!$D$5*H13*H$5*F_Opex</f>
        <v>13691.589803062492</v>
      </c>
      <c r="I14" s="11">
        <f>'الأصول والإهلاك'!$D$5*I13*I$5*F_Opex</f>
        <v>13896.963650108428</v>
      </c>
      <c r="J14" s="11">
        <f>'الأصول والإهلاك'!$D$5*J13*J$5*F_Opex</f>
        <v>18807.224139813403</v>
      </c>
      <c r="K14" s="11">
        <f>'الأصول والإهلاك'!$D$5*K13*K$5*F_Opex</f>
        <v>19089.332501910601</v>
      </c>
      <c r="L14" s="11">
        <f>'الأصول والإهلاك'!$D$5*L13*L$5*F_Opex</f>
        <v>19375.672489439257</v>
      </c>
      <c r="M14" s="11">
        <f>'الأصول والإهلاك'!$D$5*M13*M$5*F_Opex</f>
        <v>19666.307576780844</v>
      </c>
      <c r="N14" s="12">
        <f t="shared" ref="N14:N23" si="1">SUM(D14:M14)</f>
        <v>144205.27619861503</v>
      </c>
    </row>
    <row r="15" spans="1:14" x14ac:dyDescent="0.2">
      <c r="A15" s="9" t="s">
        <v>212</v>
      </c>
      <c r="B15" s="7" t="s">
        <v>75</v>
      </c>
      <c r="C15" s="11"/>
      <c r="D15" s="11">
        <f>'الأصول والإهلاك'!$D$5*EqIns*F_Opex</f>
        <v>3225</v>
      </c>
      <c r="E15" s="11">
        <f>'الأصول والإهلاك'!$D$5*EqIns*F_Opex</f>
        <v>3225</v>
      </c>
      <c r="F15" s="11">
        <f>'الأصول والإهلاك'!$D$5*EqIns*F_Opex</f>
        <v>3225</v>
      </c>
      <c r="G15" s="11">
        <f>'الأصول والإهلاك'!$D$5*EqIns*F_Opex</f>
        <v>3225</v>
      </c>
      <c r="H15" s="11">
        <f>'الأصول والإهلاك'!$D$5*EqIns*F_Opex</f>
        <v>3225</v>
      </c>
      <c r="I15" s="11">
        <f>'الأصول والإهلاك'!$D$5*EqIns*F_Opex</f>
        <v>3225</v>
      </c>
      <c r="J15" s="11">
        <f>'الأصول والإهلاك'!$D$5*EqIns*F_Opex</f>
        <v>3225</v>
      </c>
      <c r="K15" s="11">
        <f>'الأصول والإهلاك'!$D$5*EqIns*F_Opex</f>
        <v>3225</v>
      </c>
      <c r="L15" s="11">
        <f>'الأصول والإهلاك'!$D$5*EqIns*F_Opex</f>
        <v>3225</v>
      </c>
      <c r="M15" s="11">
        <f>'الأصول والإهلاك'!$D$5*EqIns*F_Opex</f>
        <v>3225</v>
      </c>
      <c r="N15" s="12">
        <f t="shared" si="1"/>
        <v>32250</v>
      </c>
    </row>
    <row r="16" spans="1:14" x14ac:dyDescent="0.2">
      <c r="A16" s="9" t="s">
        <v>222</v>
      </c>
      <c r="B16" s="7" t="s">
        <v>75</v>
      </c>
      <c r="C16" s="11"/>
      <c r="D16" s="11">
        <f>LicRenew*D$5*F_Opex</f>
        <v>1600</v>
      </c>
      <c r="E16" s="11">
        <f>LicRenew*E$5*F_Opex</f>
        <v>1623.9999999999998</v>
      </c>
      <c r="F16" s="11">
        <f>LicRenew*F$5*F_Opex</f>
        <v>1648.3599999999997</v>
      </c>
      <c r="G16" s="11">
        <f>LicRenew*G$5*F_Opex</f>
        <v>1673.0853999999995</v>
      </c>
      <c r="H16" s="11">
        <f>LicRenew*H$5*F_Opex</f>
        <v>1698.1816809999991</v>
      </c>
      <c r="I16" s="11">
        <f>LicRenew*I$5*F_Opex</f>
        <v>1723.6544062149987</v>
      </c>
      <c r="J16" s="11">
        <f>LicRenew*J$5*F_Opex</f>
        <v>1749.5092223082236</v>
      </c>
      <c r="K16" s="11">
        <f>LicRenew*K$5*F_Opex</f>
        <v>1775.7518606428466</v>
      </c>
      <c r="L16" s="11">
        <f>LicRenew*L$5*F_Opex</f>
        <v>1802.3881385524892</v>
      </c>
      <c r="M16" s="11">
        <f>LicRenew*M$5*F_Opex</f>
        <v>1829.4239606307763</v>
      </c>
      <c r="N16" s="12">
        <f t="shared" si="1"/>
        <v>17124.354669349334</v>
      </c>
    </row>
    <row r="17" spans="1:14" x14ac:dyDescent="0.2">
      <c r="A17" s="9" t="s">
        <v>582</v>
      </c>
      <c r="B17" s="7" t="s">
        <v>75</v>
      </c>
      <c r="C17" s="11"/>
      <c r="D17" s="11">
        <f>IF(AND(D$4&gt;1,MOD(D$4,2)=1),PermitRenew,0)*F_Opex</f>
        <v>0</v>
      </c>
      <c r="E17" s="11">
        <f>IF(AND(E$4&gt;1,MOD(E$4,2)=1),PermitRenew,0)*F_Opex</f>
        <v>0</v>
      </c>
      <c r="F17" s="11">
        <f>IF(AND(F$4&gt;1,MOD(F$4,2)=1),PermitRenew,0)*F_Opex</f>
        <v>2712</v>
      </c>
      <c r="G17" s="11">
        <f>IF(AND(G$4&gt;1,MOD(G$4,2)=1),PermitRenew,0)*F_Opex</f>
        <v>0</v>
      </c>
      <c r="H17" s="11">
        <f>IF(AND(H$4&gt;1,MOD(H$4,2)=1),PermitRenew,0)*F_Opex</f>
        <v>2712</v>
      </c>
      <c r="I17" s="11">
        <f>IF(AND(I$4&gt;1,MOD(I$4,2)=1),PermitRenew,0)*F_Opex</f>
        <v>0</v>
      </c>
      <c r="J17" s="11">
        <f>IF(AND(J$4&gt;1,MOD(J$4,2)=1),PermitRenew,0)*F_Opex</f>
        <v>2712</v>
      </c>
      <c r="K17" s="11">
        <f>IF(AND(K$4&gt;1,MOD(K$4,2)=1),PermitRenew,0)*F_Opex</f>
        <v>0</v>
      </c>
      <c r="L17" s="11">
        <f>IF(AND(L$4&gt;1,MOD(L$4,2)=1),PermitRenew,0)*F_Opex</f>
        <v>2712</v>
      </c>
      <c r="M17" s="11">
        <f>IF(AND(M$4&gt;1,MOD(M$4,2)=1),PermitRenew,0)*F_Opex</f>
        <v>0</v>
      </c>
      <c r="N17" s="12">
        <f t="shared" si="1"/>
        <v>10848</v>
      </c>
    </row>
    <row r="18" spans="1:14" x14ac:dyDescent="0.2">
      <c r="A18" s="9" t="s">
        <v>583</v>
      </c>
      <c r="B18" s="7" t="s">
        <v>75</v>
      </c>
      <c r="C18" s="11"/>
      <c r="D18" s="11">
        <f>GenAdmin*D$5*F_Opex</f>
        <v>4800</v>
      </c>
      <c r="E18" s="11">
        <f>GenAdmin*E$5*F_Opex</f>
        <v>4871.9999999999991</v>
      </c>
      <c r="F18" s="11">
        <f>GenAdmin*F$5*F_Opex</f>
        <v>4945.079999999999</v>
      </c>
      <c r="G18" s="11">
        <f>GenAdmin*G$5*F_Opex</f>
        <v>5019.256199999998</v>
      </c>
      <c r="H18" s="11">
        <f>GenAdmin*H$5*F_Opex</f>
        <v>5094.5450429999973</v>
      </c>
      <c r="I18" s="11">
        <f>GenAdmin*I$5*F_Opex</f>
        <v>5170.9632186449962</v>
      </c>
      <c r="J18" s="11">
        <f>GenAdmin*J$5*F_Opex</f>
        <v>5248.5276669246705</v>
      </c>
      <c r="K18" s="11">
        <f>GenAdmin*K$5*F_Opex</f>
        <v>5327.2555819285399</v>
      </c>
      <c r="L18" s="11">
        <f>GenAdmin*L$5*F_Opex</f>
        <v>5407.1644156574675</v>
      </c>
      <c r="M18" s="11">
        <f>GenAdmin*M$5*F_Opex</f>
        <v>5488.2718818923286</v>
      </c>
      <c r="N18" s="12">
        <f t="shared" si="1"/>
        <v>51373.064008048008</v>
      </c>
    </row>
    <row r="19" spans="1:14" x14ac:dyDescent="0.2">
      <c r="A19" s="9" t="s">
        <v>584</v>
      </c>
      <c r="B19" s="7" t="s">
        <v>75</v>
      </c>
      <c r="C19" s="11"/>
      <c r="D19" s="11">
        <f>Utilities*D$5*F_Opex</f>
        <v>1800</v>
      </c>
      <c r="E19" s="11">
        <f>Utilities*E$5*F_Opex</f>
        <v>1826.9999999999998</v>
      </c>
      <c r="F19" s="11">
        <f>Utilities*F$5*F_Opex</f>
        <v>1854.4049999999995</v>
      </c>
      <c r="G19" s="11">
        <f>Utilities*G$5*F_Opex</f>
        <v>1882.2210749999992</v>
      </c>
      <c r="H19" s="11">
        <f>Utilities*H$5*F_Opex</f>
        <v>1910.4543911249989</v>
      </c>
      <c r="I19" s="11">
        <f>Utilities*I$5*F_Opex</f>
        <v>1939.1112069918738</v>
      </c>
      <c r="J19" s="11">
        <f>Utilities*J$5*F_Opex</f>
        <v>1968.1978750967514</v>
      </c>
      <c r="K19" s="11">
        <f>Utilities*K$5*F_Opex</f>
        <v>1997.7208432232023</v>
      </c>
      <c r="L19" s="11">
        <f>Utilities*L$5*F_Opex</f>
        <v>2027.6866558715503</v>
      </c>
      <c r="M19" s="11">
        <f>Utilities*M$5*F_Opex</f>
        <v>2058.1019557096233</v>
      </c>
      <c r="N19" s="12">
        <f t="shared" si="1"/>
        <v>19264.899003017999</v>
      </c>
    </row>
    <row r="20" spans="1:14" x14ac:dyDescent="0.2">
      <c r="A20" s="9" t="s">
        <v>585</v>
      </c>
      <c r="B20" s="7" t="s">
        <v>75</v>
      </c>
      <c r="C20" s="11"/>
      <c r="D20" s="11">
        <f>AssayCost*D$5*F_Opex</f>
        <v>2400</v>
      </c>
      <c r="E20" s="11">
        <f>AssayCost*E$5*F_Opex</f>
        <v>2435.9999999999995</v>
      </c>
      <c r="F20" s="11">
        <f>AssayCost*F$5*F_Opex</f>
        <v>2472.5399999999995</v>
      </c>
      <c r="G20" s="11">
        <f>AssayCost*G$5*F_Opex</f>
        <v>2509.628099999999</v>
      </c>
      <c r="H20" s="11">
        <f>AssayCost*H$5*F_Opex</f>
        <v>2547.2725214999987</v>
      </c>
      <c r="I20" s="11">
        <f>AssayCost*I$5*F_Opex</f>
        <v>2585.4816093224981</v>
      </c>
      <c r="J20" s="11">
        <f>AssayCost*J$5*F_Opex</f>
        <v>2624.2638334623352</v>
      </c>
      <c r="K20" s="11">
        <f>AssayCost*K$5*F_Opex</f>
        <v>2663.6277909642699</v>
      </c>
      <c r="L20" s="11">
        <f>AssayCost*L$5*F_Opex</f>
        <v>2703.5822078287338</v>
      </c>
      <c r="M20" s="11">
        <f>AssayCost*M$5*F_Opex</f>
        <v>2744.1359409461643</v>
      </c>
      <c r="N20" s="12">
        <f t="shared" si="1"/>
        <v>25686.532004024004</v>
      </c>
    </row>
    <row r="21" spans="1:14" x14ac:dyDescent="0.2">
      <c r="A21" s="9" t="s">
        <v>586</v>
      </c>
      <c r="B21" s="7" t="s">
        <v>75</v>
      </c>
      <c r="C21" s="11"/>
      <c r="D21" s="11">
        <f>BankGuar*GuarComm*F_Opex</f>
        <v>825</v>
      </c>
      <c r="E21" s="11">
        <f>BankGuar*GuarComm*F_Opex</f>
        <v>825</v>
      </c>
      <c r="F21" s="11">
        <f>BankGuar*GuarComm*F_Opex</f>
        <v>825</v>
      </c>
      <c r="G21" s="11">
        <f>BankGuar*GuarComm*F_Opex</f>
        <v>825</v>
      </c>
      <c r="H21" s="11">
        <f>BankGuar*GuarComm*F_Opex</f>
        <v>825</v>
      </c>
      <c r="I21" s="11">
        <f>BankGuar*GuarComm*F_Opex</f>
        <v>825</v>
      </c>
      <c r="J21" s="11">
        <f>BankGuar*GuarComm*F_Opex</f>
        <v>825</v>
      </c>
      <c r="K21" s="11">
        <f>BankGuar*GuarComm*F_Opex</f>
        <v>825</v>
      </c>
      <c r="L21" s="11">
        <f>BankGuar*GuarComm*F_Opex</f>
        <v>825</v>
      </c>
      <c r="M21" s="11">
        <f>BankGuar*GuarComm*F_Opex</f>
        <v>825</v>
      </c>
      <c r="N21" s="12">
        <f t="shared" si="1"/>
        <v>8250</v>
      </c>
    </row>
    <row r="22" spans="1:14" x14ac:dyDescent="0.2">
      <c r="A22" s="9" t="s">
        <v>587</v>
      </c>
      <c r="B22" s="7" t="s">
        <v>75</v>
      </c>
      <c r="C22" s="11"/>
      <c r="D22" s="11">
        <f>RehabCost*D$5*F_Opex</f>
        <v>2500</v>
      </c>
      <c r="E22" s="11">
        <f>RehabCost*E$5*F_Opex</f>
        <v>2537.4999999999995</v>
      </c>
      <c r="F22" s="11">
        <f>RehabCost*F$5*F_Opex</f>
        <v>2575.5624999999991</v>
      </c>
      <c r="G22" s="11">
        <f>RehabCost*G$5*F_Opex</f>
        <v>2614.1959374999992</v>
      </c>
      <c r="H22" s="11">
        <f>RehabCost*H$5*F_Opex</f>
        <v>2653.4088765624988</v>
      </c>
      <c r="I22" s="11">
        <f>RehabCost*I$5*F_Opex</f>
        <v>2693.2100097109355</v>
      </c>
      <c r="J22" s="11">
        <f>RehabCost*J$5*F_Opex</f>
        <v>2733.6081598565993</v>
      </c>
      <c r="K22" s="11">
        <f>RehabCost*K$5*F_Opex</f>
        <v>2774.6122822544476</v>
      </c>
      <c r="L22" s="11">
        <f>RehabCost*L$5*F_Opex</f>
        <v>2816.2314664882642</v>
      </c>
      <c r="M22" s="11">
        <f>RehabCost*M$5*F_Opex</f>
        <v>2858.4749384855877</v>
      </c>
      <c r="N22" s="12">
        <f t="shared" si="1"/>
        <v>26756.804170858333</v>
      </c>
    </row>
    <row r="23" spans="1:14" x14ac:dyDescent="0.2">
      <c r="A23" s="32" t="s">
        <v>588</v>
      </c>
      <c r="B23" s="7" t="s">
        <v>75</v>
      </c>
      <c r="C23" s="11"/>
      <c r="D23" s="12">
        <f t="shared" ref="D23:M23" si="2">SUM(D8:D12)+SUM(D14:D22)</f>
        <v>223073.91999999998</v>
      </c>
      <c r="E23" s="12">
        <f t="shared" si="2"/>
        <v>226359.27879999997</v>
      </c>
      <c r="F23" s="12">
        <f t="shared" si="2"/>
        <v>232405.91798199993</v>
      </c>
      <c r="G23" s="12">
        <f t="shared" si="2"/>
        <v>237574.99376422993</v>
      </c>
      <c r="H23" s="12">
        <f t="shared" si="2"/>
        <v>243789.86867069334</v>
      </c>
      <c r="I23" s="12">
        <f t="shared" si="2"/>
        <v>244633.28670075367</v>
      </c>
      <c r="J23" s="12">
        <f t="shared" si="2"/>
        <v>255655.84203621832</v>
      </c>
      <c r="K23" s="12">
        <f t="shared" si="2"/>
        <v>256677.24966676152</v>
      </c>
      <c r="L23" s="12">
        <f t="shared" si="2"/>
        <v>263178.65841176297</v>
      </c>
      <c r="M23" s="12">
        <f t="shared" si="2"/>
        <v>264312.90828793938</v>
      </c>
      <c r="N23" s="12">
        <f t="shared" si="1"/>
        <v>2447661.9243203588</v>
      </c>
    </row>
    <row r="24" spans="1:14" x14ac:dyDescent="0.2">
      <c r="A24" s="15" t="s">
        <v>589</v>
      </c>
      <c r="B24" s="15"/>
      <c r="C24" s="15"/>
      <c r="D24" s="15"/>
      <c r="E24" s="15"/>
      <c r="F24" s="15"/>
      <c r="G24" s="15"/>
      <c r="H24" s="15"/>
      <c r="I24" s="15"/>
      <c r="J24" s="15"/>
      <c r="K24" s="15"/>
      <c r="L24" s="15"/>
      <c r="M24" s="15"/>
      <c r="N24" s="15"/>
    </row>
    <row r="25" spans="1:14" x14ac:dyDescent="0.2">
      <c r="A25" s="9" t="s">
        <v>590</v>
      </c>
      <c r="B25" s="7" t="s">
        <v>75</v>
      </c>
      <c r="C25" s="11"/>
      <c r="D25" s="11">
        <f>ConsVar*D6*D$5*F_Opex</f>
        <v>43862.288400000005</v>
      </c>
      <c r="E25" s="11">
        <f>ConsVar*E6*E$5*F_Opex</f>
        <v>57240.286362000006</v>
      </c>
      <c r="F25" s="11">
        <f>ConsVar*F6*F$5*F_Opex</f>
        <v>64554.322952699993</v>
      </c>
      <c r="G25" s="11">
        <f>ConsVar*G6*G$5*F_Opex</f>
        <v>65522.637796990486</v>
      </c>
      <c r="H25" s="11">
        <f>ConsVar*H6*H$5*F_Opex</f>
        <v>66505.477363945334</v>
      </c>
      <c r="I25" s="11">
        <f>ConsVar*I6*I$5*F_Opex</f>
        <v>67503.059524404511</v>
      </c>
      <c r="J25" s="11">
        <f>ConsVar*J6*J$5*F_Opex</f>
        <v>68515.605417270563</v>
      </c>
      <c r="K25" s="11">
        <f>ConsVar*K6*K$5*F_Opex</f>
        <v>69543.339498529604</v>
      </c>
      <c r="L25" s="11">
        <f>ConsVar*L6*L$5*F_Opex</f>
        <v>70586.489591007543</v>
      </c>
      <c r="M25" s="11">
        <f>ConsVar*M6*M$5*F_Opex</f>
        <v>71645.286934872653</v>
      </c>
      <c r="N25" s="12">
        <f t="shared" ref="N25:N29" si="3">SUM(D25:M25)</f>
        <v>645478.79384172068</v>
      </c>
    </row>
    <row r="26" spans="1:14" x14ac:dyDescent="0.2">
      <c r="A26" s="9" t="s">
        <v>173</v>
      </c>
      <c r="B26" s="7" t="s">
        <v>75</v>
      </c>
      <c r="C26" s="11"/>
      <c r="D26" s="11">
        <f>الإيرادات!D7*RoyaltyRate</f>
        <v>19687.468098064517</v>
      </c>
      <c r="E26" s="11">
        <f>الإيرادات!E7*RoyaltyRate</f>
        <v>25312.458983225806</v>
      </c>
      <c r="F26" s="11">
        <f>الإيرادات!F7*RoyaltyRate</f>
        <v>28124.954425806456</v>
      </c>
      <c r="G26" s="11">
        <f>الإيرادات!G7*RoyaltyRate</f>
        <v>28124.954425806456</v>
      </c>
      <c r="H26" s="11">
        <f>الإيرادات!H7*RoyaltyRate</f>
        <v>28124.954425806456</v>
      </c>
      <c r="I26" s="11">
        <f>الإيرادات!I7*RoyaltyRate</f>
        <v>28124.954425806456</v>
      </c>
      <c r="J26" s="11">
        <f>الإيرادات!J7*RoyaltyRate</f>
        <v>28124.954425806456</v>
      </c>
      <c r="K26" s="11">
        <f>الإيرادات!K7*RoyaltyRate</f>
        <v>28124.954425806456</v>
      </c>
      <c r="L26" s="11">
        <f>الإيرادات!L7*RoyaltyRate</f>
        <v>28124.954425806456</v>
      </c>
      <c r="M26" s="11">
        <f>الإيرادات!M7*RoyaltyRate</f>
        <v>28124.954425806456</v>
      </c>
      <c r="N26" s="12">
        <f t="shared" si="3"/>
        <v>269999.56248774205</v>
      </c>
    </row>
    <row r="27" spans="1:14" x14ac:dyDescent="0.2">
      <c r="A27" s="9" t="s">
        <v>176</v>
      </c>
      <c r="B27" s="7" t="s">
        <v>75</v>
      </c>
      <c r="C27" s="11"/>
      <c r="D27" s="11">
        <f>الإيرادات!D7*CommunityRate</f>
        <v>3937.4936196129029</v>
      </c>
      <c r="E27" s="11">
        <f>الإيرادات!E7*CommunityRate</f>
        <v>5062.4917966451612</v>
      </c>
      <c r="F27" s="11">
        <f>الإيرادات!F7*CommunityRate</f>
        <v>5624.9908851612909</v>
      </c>
      <c r="G27" s="11">
        <f>الإيرادات!G7*CommunityRate</f>
        <v>5624.9908851612909</v>
      </c>
      <c r="H27" s="11">
        <f>الإيرادات!H7*CommunityRate</f>
        <v>5624.9908851612909</v>
      </c>
      <c r="I27" s="11">
        <f>الإيرادات!I7*CommunityRate</f>
        <v>5624.9908851612909</v>
      </c>
      <c r="J27" s="11">
        <f>الإيرادات!J7*CommunityRate</f>
        <v>5624.9908851612909</v>
      </c>
      <c r="K27" s="11">
        <f>الإيرادات!K7*CommunityRate</f>
        <v>5624.9908851612909</v>
      </c>
      <c r="L27" s="11">
        <f>الإيرادات!L7*CommunityRate</f>
        <v>5624.9908851612909</v>
      </c>
      <c r="M27" s="11">
        <f>الإيرادات!M7*CommunityRate</f>
        <v>5624.9908851612909</v>
      </c>
      <c r="N27" s="12">
        <f t="shared" si="3"/>
        <v>53999.912497548401</v>
      </c>
    </row>
    <row r="28" spans="1:14" x14ac:dyDescent="0.2">
      <c r="A28" s="32" t="s">
        <v>591</v>
      </c>
      <c r="B28" s="7" t="s">
        <v>75</v>
      </c>
      <c r="C28" s="11"/>
      <c r="D28" s="12">
        <f t="shared" ref="D28:M28" si="4">SUM(D25:D27)</f>
        <v>67487.250117677424</v>
      </c>
      <c r="E28" s="12">
        <f t="shared" si="4"/>
        <v>87615.237141870981</v>
      </c>
      <c r="F28" s="12">
        <f t="shared" si="4"/>
        <v>98304.268263667735</v>
      </c>
      <c r="G28" s="12">
        <f t="shared" si="4"/>
        <v>99272.583107958228</v>
      </c>
      <c r="H28" s="12">
        <f t="shared" si="4"/>
        <v>100255.42267491308</v>
      </c>
      <c r="I28" s="12">
        <f t="shared" si="4"/>
        <v>101253.00483537225</v>
      </c>
      <c r="J28" s="12">
        <f t="shared" si="4"/>
        <v>102265.5507282383</v>
      </c>
      <c r="K28" s="12">
        <f t="shared" si="4"/>
        <v>103293.28480949735</v>
      </c>
      <c r="L28" s="12">
        <f t="shared" si="4"/>
        <v>104336.43490197528</v>
      </c>
      <c r="M28" s="12">
        <f t="shared" si="4"/>
        <v>105395.23224584039</v>
      </c>
      <c r="N28" s="12">
        <f t="shared" si="3"/>
        <v>969478.26882701099</v>
      </c>
    </row>
    <row r="29" spans="1:14" x14ac:dyDescent="0.2">
      <c r="A29" s="32" t="s">
        <v>592</v>
      </c>
      <c r="B29" s="7" t="s">
        <v>75</v>
      </c>
      <c r="C29" s="11"/>
      <c r="D29" s="13">
        <f t="shared" ref="D29:M29" si="5">D23+D28</f>
        <v>290561.17011767742</v>
      </c>
      <c r="E29" s="13">
        <f t="shared" si="5"/>
        <v>313974.51594187098</v>
      </c>
      <c r="F29" s="13">
        <f t="shared" si="5"/>
        <v>330710.18624566763</v>
      </c>
      <c r="G29" s="13">
        <f t="shared" si="5"/>
        <v>336847.57687218813</v>
      </c>
      <c r="H29" s="13">
        <f t="shared" si="5"/>
        <v>344045.29134560644</v>
      </c>
      <c r="I29" s="13">
        <f t="shared" si="5"/>
        <v>345886.29153612594</v>
      </c>
      <c r="J29" s="13">
        <f t="shared" si="5"/>
        <v>357921.39276445663</v>
      </c>
      <c r="K29" s="13">
        <f t="shared" si="5"/>
        <v>359970.53447625885</v>
      </c>
      <c r="L29" s="13">
        <f t="shared" si="5"/>
        <v>367515.09331373824</v>
      </c>
      <c r="M29" s="13">
        <f t="shared" si="5"/>
        <v>369708.14053377975</v>
      </c>
      <c r="N29" s="12">
        <f t="shared" si="3"/>
        <v>3417140.1931473697</v>
      </c>
    </row>
    <row r="30" spans="1:14" x14ac:dyDescent="0.2">
      <c r="A30" s="9" t="s">
        <v>84</v>
      </c>
      <c r="B30" s="7" t="s">
        <v>156</v>
      </c>
      <c r="C30" s="11"/>
      <c r="D30" s="18">
        <f>IF(الإيرادات!D5&gt;0,D29/الإيرادات!D5,0)</f>
        <v>34.881292931293807</v>
      </c>
      <c r="E30" s="18">
        <f>IF(الإيرادات!E5&gt;0,E29/الإيرادات!E5,0)</f>
        <v>29.316014560398784</v>
      </c>
      <c r="F30" s="18">
        <f>IF(الإيرادات!F5&gt;0,F29/الإيرادات!F5,0)</f>
        <v>27.790771953417448</v>
      </c>
      <c r="G30" s="18">
        <f>IF(الإيرادات!G5&gt;0,G29/الإيرادات!G5,0)</f>
        <v>28.306519064889759</v>
      </c>
      <c r="H30" s="18">
        <f>IF(الإيرادات!H5&gt;0,H29/الإيرادات!H5,0)</f>
        <v>28.911369020639196</v>
      </c>
      <c r="I30" s="18">
        <f>IF(الإيرادات!I5&gt;0,I29/الإيرادات!I5,0)</f>
        <v>29.06607491900218</v>
      </c>
      <c r="J30" s="18">
        <f>IF(الإيرادات!J5&gt;0,J29/الإيرادات!J5,0)</f>
        <v>30.077427963399717</v>
      </c>
      <c r="K30" s="18">
        <f>IF(الإيرادات!K5&gt;0,K29/الإيرادات!K5,0)</f>
        <v>30.249624745904104</v>
      </c>
      <c r="L30" s="18">
        <f>IF(الإيرادات!L5&gt;0,L29/الإيرادات!L5,0)</f>
        <v>30.88362128686876</v>
      </c>
      <c r="M30" s="18">
        <f>IF(الإيرادات!M5&gt;0,M29/الإيرادات!M5,0)</f>
        <v>31.067910969225188</v>
      </c>
      <c r="N30" s="33">
        <f>IF(الإيرادات!N5&gt;0,N29/الإيرادات!N5,0)</f>
        <v>29.911941466626136</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71DDE-C5EA-4943-AA9F-4CBBB2F988D4}">
  <sheetPr>
    <tabColor rgb="FF002060"/>
    <pageSetUpPr fitToPage="1"/>
  </sheetPr>
  <dimension ref="A1:N31"/>
  <sheetViews>
    <sheetView showGridLines="0" rightToLeft="1" zoomScale="90" zoomScaleNormal="90" workbookViewId="0"/>
  </sheetViews>
  <sheetFormatPr defaultRowHeight="12.75" x14ac:dyDescent="0.2"/>
  <cols>
    <col min="1" max="1" width="48.7109375" style="1" customWidth="1"/>
    <col min="2" max="2" width="18.7109375" style="1" customWidth="1"/>
    <col min="3" max="14" width="13.7109375" style="1" customWidth="1"/>
    <col min="15" max="16384" width="9.140625" style="1"/>
  </cols>
  <sheetData>
    <row r="1" spans="1:8" ht="20.25" x14ac:dyDescent="0.2">
      <c r="A1" s="3" t="s">
        <v>593</v>
      </c>
    </row>
    <row r="2" spans="1:8" x14ac:dyDescent="0.2">
      <c r="A2" s="5" t="s">
        <v>594</v>
      </c>
    </row>
    <row r="4" spans="1:8" x14ac:dyDescent="0.2">
      <c r="A4" s="6" t="s">
        <v>107</v>
      </c>
      <c r="B4" s="6" t="s">
        <v>446</v>
      </c>
      <c r="C4" s="6" t="s">
        <v>595</v>
      </c>
      <c r="D4" s="6" t="s">
        <v>58</v>
      </c>
      <c r="E4" s="6"/>
      <c r="F4" s="6"/>
      <c r="G4" s="6"/>
      <c r="H4" s="6"/>
    </row>
    <row r="5" spans="1:8" x14ac:dyDescent="0.2">
      <c r="A5" s="15" t="s">
        <v>596</v>
      </c>
      <c r="B5" s="15"/>
      <c r="C5" s="15"/>
      <c r="D5" s="15"/>
      <c r="E5" s="15"/>
      <c r="F5" s="15"/>
      <c r="G5" s="15"/>
      <c r="H5" s="15"/>
    </row>
    <row r="6" spans="1:8" x14ac:dyDescent="0.2">
      <c r="A6" s="9" t="s">
        <v>597</v>
      </c>
      <c r="B6" s="11">
        <f>FixedAssets</f>
        <v>222500</v>
      </c>
      <c r="C6" s="17">
        <f>B6/$B$10</f>
        <v>0.38393028804120533</v>
      </c>
      <c r="D6" s="5" t="s">
        <v>342</v>
      </c>
    </row>
    <row r="7" spans="1:8" x14ac:dyDescent="0.2">
      <c r="A7" s="9" t="s">
        <v>598</v>
      </c>
      <c r="B7" s="11">
        <f>PreOp</f>
        <v>229392</v>
      </c>
      <c r="C7" s="17">
        <f>B7/$B$10</f>
        <v>0.39582263655886818</v>
      </c>
      <c r="D7" s="5" t="s">
        <v>599</v>
      </c>
    </row>
    <row r="8" spans="1:8" x14ac:dyDescent="0.2">
      <c r="A8" s="9" t="s">
        <v>600</v>
      </c>
      <c r="B8" s="11">
        <f>BankGuar</f>
        <v>55000</v>
      </c>
      <c r="C8" s="17">
        <f>B8/$B$10</f>
        <v>9.4904116145017037E-2</v>
      </c>
      <c r="D8" s="5" t="s">
        <v>601</v>
      </c>
    </row>
    <row r="9" spans="1:8" x14ac:dyDescent="0.2">
      <c r="A9" s="9" t="s">
        <v>602</v>
      </c>
      <c r="B9" s="11">
        <f>B17</f>
        <v>72640.292529419356</v>
      </c>
      <c r="C9" s="17">
        <f>B9/$B$10</f>
        <v>0.1253429592549096</v>
      </c>
      <c r="D9" s="5" t="s">
        <v>603</v>
      </c>
    </row>
    <row r="10" spans="1:8" x14ac:dyDescent="0.2">
      <c r="A10" s="29" t="s">
        <v>74</v>
      </c>
      <c r="B10" s="13">
        <f>SUM(B6:B9)</f>
        <v>579532.2925294193</v>
      </c>
      <c r="C10" s="46">
        <f>SUM(C6:C9)</f>
        <v>1.0000000000000002</v>
      </c>
    </row>
    <row r="11" spans="1:8" x14ac:dyDescent="0.2">
      <c r="A11" s="9" t="s">
        <v>604</v>
      </c>
      <c r="B11" s="11">
        <f>SunkCost</f>
        <v>200000</v>
      </c>
      <c r="C11" s="17">
        <f>B11/$B$10</f>
        <v>0.34510587689097105</v>
      </c>
      <c r="D11" s="5" t="s">
        <v>605</v>
      </c>
    </row>
    <row r="12" spans="1:8" x14ac:dyDescent="0.2">
      <c r="A12" s="32" t="s">
        <v>79</v>
      </c>
      <c r="B12" s="12">
        <f>B10-B11</f>
        <v>379532.2925294193</v>
      </c>
      <c r="C12" s="46">
        <f>B12/$B$10</f>
        <v>0.65489412310902895</v>
      </c>
    </row>
    <row r="14" spans="1:8" x14ac:dyDescent="0.2">
      <c r="A14" s="15" t="s">
        <v>606</v>
      </c>
      <c r="B14" s="15"/>
      <c r="C14" s="15"/>
      <c r="D14" s="15"/>
      <c r="E14" s="15"/>
      <c r="F14" s="15"/>
      <c r="G14" s="15"/>
      <c r="H14" s="15"/>
    </row>
    <row r="15" spans="1:8" x14ac:dyDescent="0.2">
      <c r="A15" s="9" t="s">
        <v>607</v>
      </c>
      <c r="B15" s="11">
        <f>'التكاليف التشغيلية'!D29</f>
        <v>290561.17011767742</v>
      </c>
      <c r="D15" s="5" t="s">
        <v>608</v>
      </c>
    </row>
    <row r="16" spans="1:8" x14ac:dyDescent="0.2">
      <c r="A16" s="9" t="s">
        <v>609</v>
      </c>
      <c r="B16" s="11">
        <f>WCMonths</f>
        <v>3</v>
      </c>
    </row>
    <row r="17" spans="1:14" x14ac:dyDescent="0.2">
      <c r="A17" s="32" t="s">
        <v>610</v>
      </c>
      <c r="B17" s="12">
        <f>B15*B16/12</f>
        <v>72640.292529419356</v>
      </c>
    </row>
    <row r="19" spans="1:14" x14ac:dyDescent="0.2">
      <c r="A19" s="15" t="s">
        <v>611</v>
      </c>
      <c r="B19" s="15"/>
      <c r="C19" s="15"/>
      <c r="D19" s="15"/>
      <c r="E19" s="15"/>
      <c r="F19" s="15"/>
      <c r="G19" s="15"/>
      <c r="H19" s="15"/>
    </row>
    <row r="20" spans="1:14" x14ac:dyDescent="0.2">
      <c r="A20" s="9" t="s">
        <v>612</v>
      </c>
      <c r="B20" s="11">
        <f>Loan</f>
        <v>150000</v>
      </c>
      <c r="C20" s="17">
        <f>B20/$B$23</f>
        <v>0.25882940766822832</v>
      </c>
    </row>
    <row r="21" spans="1:14" x14ac:dyDescent="0.2">
      <c r="A21" s="9" t="s">
        <v>613</v>
      </c>
      <c r="B21" s="11">
        <f>SunkCost</f>
        <v>200000</v>
      </c>
      <c r="C21" s="17">
        <f>B21/$B$23</f>
        <v>0.34510587689097105</v>
      </c>
    </row>
    <row r="22" spans="1:14" x14ac:dyDescent="0.2">
      <c r="A22" s="9" t="s">
        <v>614</v>
      </c>
      <c r="B22" s="11">
        <f>B10-B20-B21</f>
        <v>229532.2925294193</v>
      </c>
      <c r="C22" s="17">
        <f>B22/$B$23</f>
        <v>0.39606471544080063</v>
      </c>
    </row>
    <row r="23" spans="1:14" x14ac:dyDescent="0.2">
      <c r="A23" s="29" t="s">
        <v>615</v>
      </c>
      <c r="B23" s="12">
        <f>SUM(B20:B22)</f>
        <v>579532.2925294193</v>
      </c>
      <c r="C23" s="46">
        <f>SUM(C20:C22)</f>
        <v>1</v>
      </c>
    </row>
    <row r="24" spans="1:14" x14ac:dyDescent="0.2">
      <c r="A24" s="9" t="s">
        <v>616</v>
      </c>
      <c r="B24" s="17">
        <f>IF(NewInv&gt;0,Loan/NewInv,0)</f>
        <v>0.39522328653594824</v>
      </c>
    </row>
    <row r="26" spans="1:14" x14ac:dyDescent="0.2">
      <c r="A26" s="6" t="s">
        <v>617</v>
      </c>
      <c r="B26" s="6" t="s">
        <v>57</v>
      </c>
      <c r="C26" s="36">
        <v>0</v>
      </c>
      <c r="D26" s="37">
        <v>1</v>
      </c>
      <c r="E26" s="37">
        <v>2</v>
      </c>
      <c r="F26" s="37">
        <v>3</v>
      </c>
      <c r="G26" s="37">
        <v>4</v>
      </c>
      <c r="H26" s="37">
        <v>5</v>
      </c>
      <c r="I26" s="37">
        <v>6</v>
      </c>
      <c r="J26" s="37">
        <v>7</v>
      </c>
      <c r="K26" s="37">
        <v>8</v>
      </c>
      <c r="L26" s="37">
        <v>9</v>
      </c>
      <c r="M26" s="37">
        <v>10</v>
      </c>
      <c r="N26" s="6" t="s">
        <v>357</v>
      </c>
    </row>
    <row r="27" spans="1:14" x14ac:dyDescent="0.2">
      <c r="A27" s="9" t="s">
        <v>618</v>
      </c>
      <c r="B27" s="7" t="s">
        <v>75</v>
      </c>
      <c r="C27" s="11"/>
      <c r="D27" s="11">
        <f t="shared" ref="D27:M27" si="0">C31</f>
        <v>150000</v>
      </c>
      <c r="E27" s="11">
        <f t="shared" si="0"/>
        <v>123390.53993532155</v>
      </c>
      <c r="F27" s="11">
        <f t="shared" si="0"/>
        <v>95184.512266762395</v>
      </c>
      <c r="G27" s="11">
        <f t="shared" si="0"/>
        <v>65286.122938089691</v>
      </c>
      <c r="H27" s="11">
        <f t="shared" si="0"/>
        <v>33593.830249696628</v>
      </c>
      <c r="I27" s="11">
        <f t="shared" si="0"/>
        <v>0</v>
      </c>
      <c r="J27" s="11">
        <f t="shared" si="0"/>
        <v>0</v>
      </c>
      <c r="K27" s="11">
        <f t="shared" si="0"/>
        <v>0</v>
      </c>
      <c r="L27" s="11">
        <f t="shared" si="0"/>
        <v>0</v>
      </c>
      <c r="M27" s="11">
        <f t="shared" si="0"/>
        <v>0</v>
      </c>
      <c r="N27" s="11"/>
    </row>
    <row r="28" spans="1:14" x14ac:dyDescent="0.2">
      <c r="A28" s="9" t="s">
        <v>619</v>
      </c>
      <c r="B28" s="7" t="s">
        <v>75</v>
      </c>
      <c r="C28" s="11"/>
      <c r="D28" s="11">
        <f>IF(AND(D$26&lt;=LoanYrs,Loan&gt;0),-PMT(LoanRate,LoanYrs,Loan),0)</f>
        <v>35609.460064678446</v>
      </c>
      <c r="E28" s="11">
        <f>IF(AND(E$26&lt;=LoanYrs,Loan&gt;0),-PMT(LoanRate,LoanYrs,Loan),0)</f>
        <v>35609.460064678446</v>
      </c>
      <c r="F28" s="11">
        <f>IF(AND(F$26&lt;=LoanYrs,Loan&gt;0),-PMT(LoanRate,LoanYrs,Loan),0)</f>
        <v>35609.460064678446</v>
      </c>
      <c r="G28" s="11">
        <f>IF(AND(G$26&lt;=LoanYrs,Loan&gt;0),-PMT(LoanRate,LoanYrs,Loan),0)</f>
        <v>35609.460064678446</v>
      </c>
      <c r="H28" s="11">
        <f>IF(AND(H$26&lt;=LoanYrs,Loan&gt;0),-PMT(LoanRate,LoanYrs,Loan),0)</f>
        <v>35609.460064678446</v>
      </c>
      <c r="I28" s="11">
        <f>IF(AND(I$26&lt;=LoanYrs,Loan&gt;0),-PMT(LoanRate,LoanYrs,Loan),0)</f>
        <v>0</v>
      </c>
      <c r="J28" s="11">
        <f>IF(AND(J$26&lt;=LoanYrs,Loan&gt;0),-PMT(LoanRate,LoanYrs,Loan),0)</f>
        <v>0</v>
      </c>
      <c r="K28" s="11">
        <f>IF(AND(K$26&lt;=LoanYrs,Loan&gt;0),-PMT(LoanRate,LoanYrs,Loan),0)</f>
        <v>0</v>
      </c>
      <c r="L28" s="11">
        <f>IF(AND(L$26&lt;=LoanYrs,Loan&gt;0),-PMT(LoanRate,LoanYrs,Loan),0)</f>
        <v>0</v>
      </c>
      <c r="M28" s="11">
        <f>IF(AND(M$26&lt;=LoanYrs,Loan&gt;0),-PMT(LoanRate,LoanYrs,Loan),0)</f>
        <v>0</v>
      </c>
      <c r="N28" s="12">
        <f>SUM(D28:M28)</f>
        <v>178047.30032339224</v>
      </c>
    </row>
    <row r="29" spans="1:14" x14ac:dyDescent="0.2">
      <c r="A29" s="9" t="s">
        <v>620</v>
      </c>
      <c r="B29" s="7" t="s">
        <v>75</v>
      </c>
      <c r="C29" s="11"/>
      <c r="D29" s="11">
        <f>D27*LoanRate</f>
        <v>9000</v>
      </c>
      <c r="E29" s="11">
        <f>E27*LoanRate</f>
        <v>7403.4323961192922</v>
      </c>
      <c r="F29" s="11">
        <f>F27*LoanRate</f>
        <v>5711.0707360057431</v>
      </c>
      <c r="G29" s="11">
        <f>G27*LoanRate</f>
        <v>3917.1673762853811</v>
      </c>
      <c r="H29" s="11">
        <f>H27*LoanRate</f>
        <v>2015.6298149817976</v>
      </c>
      <c r="I29" s="11">
        <f>I27*LoanRate</f>
        <v>0</v>
      </c>
      <c r="J29" s="11">
        <f>J27*LoanRate</f>
        <v>0</v>
      </c>
      <c r="K29" s="11">
        <f>K27*LoanRate</f>
        <v>0</v>
      </c>
      <c r="L29" s="11">
        <f>L27*LoanRate</f>
        <v>0</v>
      </c>
      <c r="M29" s="11">
        <f>M27*LoanRate</f>
        <v>0</v>
      </c>
      <c r="N29" s="12">
        <f>SUM(D29:M29)</f>
        <v>28047.300323392214</v>
      </c>
    </row>
    <row r="30" spans="1:14" x14ac:dyDescent="0.2">
      <c r="A30" s="9" t="s">
        <v>621</v>
      </c>
      <c r="B30" s="7" t="s">
        <v>75</v>
      </c>
      <c r="C30" s="11"/>
      <c r="D30" s="11">
        <f t="shared" ref="D30:M30" si="1">D28-D29</f>
        <v>26609.460064678446</v>
      </c>
      <c r="E30" s="11">
        <f t="shared" si="1"/>
        <v>28206.027668559153</v>
      </c>
      <c r="F30" s="11">
        <f t="shared" si="1"/>
        <v>29898.389328672703</v>
      </c>
      <c r="G30" s="11">
        <f t="shared" si="1"/>
        <v>31692.292688393063</v>
      </c>
      <c r="H30" s="11">
        <f t="shared" si="1"/>
        <v>33593.83024969665</v>
      </c>
      <c r="I30" s="11">
        <f t="shared" si="1"/>
        <v>0</v>
      </c>
      <c r="J30" s="11">
        <f t="shared" si="1"/>
        <v>0</v>
      </c>
      <c r="K30" s="11">
        <f t="shared" si="1"/>
        <v>0</v>
      </c>
      <c r="L30" s="11">
        <f t="shared" si="1"/>
        <v>0</v>
      </c>
      <c r="M30" s="11">
        <f t="shared" si="1"/>
        <v>0</v>
      </c>
      <c r="N30" s="12">
        <f>SUM(D30:M30)</f>
        <v>150000</v>
      </c>
    </row>
    <row r="31" spans="1:14" x14ac:dyDescent="0.2">
      <c r="A31" s="32" t="s">
        <v>622</v>
      </c>
      <c r="B31" s="7" t="s">
        <v>75</v>
      </c>
      <c r="C31" s="12">
        <f>Loan</f>
        <v>150000</v>
      </c>
      <c r="D31" s="12">
        <f t="shared" ref="D31:M31" si="2">D27-D30</f>
        <v>123390.53993532155</v>
      </c>
      <c r="E31" s="12">
        <f t="shared" si="2"/>
        <v>95184.512266762395</v>
      </c>
      <c r="F31" s="12">
        <f t="shared" si="2"/>
        <v>65286.122938089691</v>
      </c>
      <c r="G31" s="12">
        <f t="shared" si="2"/>
        <v>33593.830249696628</v>
      </c>
      <c r="H31" s="12">
        <f t="shared" si="2"/>
        <v>0</v>
      </c>
      <c r="I31" s="12">
        <f t="shared" si="2"/>
        <v>0</v>
      </c>
      <c r="J31" s="12">
        <f t="shared" si="2"/>
        <v>0</v>
      </c>
      <c r="K31" s="12">
        <f t="shared" si="2"/>
        <v>0</v>
      </c>
      <c r="L31" s="12">
        <f t="shared" si="2"/>
        <v>0</v>
      </c>
      <c r="M31" s="12">
        <f t="shared" si="2"/>
        <v>0</v>
      </c>
      <c r="N31" s="11"/>
    </row>
  </sheetData>
  <pageMargins left="0.3888888888888889" right="0.3888888888888889" top="0.5" bottom="0.5" header="0.3" footer="0.3"/>
  <pageSetup paperSize="9" scale="61" fitToHeight="0" orientation="landscape" verticalDpi="0" r:id="rId1"/>
  <headerFooter>
    <oddFooter>&amp;C&amp;P /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4FAF50-B862-47D9-BD2C-0A93C3DA6771}">
  <sheetPr>
    <tabColor rgb="FF002060"/>
    <pageSetUpPr fitToPage="1"/>
  </sheetPr>
  <dimension ref="A1:N23"/>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623</v>
      </c>
    </row>
    <row r="2" spans="1:14" x14ac:dyDescent="0.2">
      <c r="A2" s="5" t="s">
        <v>624</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32" t="s">
        <v>29</v>
      </c>
      <c r="B5" s="7" t="s">
        <v>75</v>
      </c>
      <c r="C5" s="11"/>
      <c r="D5" s="47">
        <f>الإيرادات!D7</f>
        <v>393749.3619612903</v>
      </c>
      <c r="E5" s="47">
        <f>الإيرادات!E7</f>
        <v>506249.17966451612</v>
      </c>
      <c r="F5" s="47">
        <f>الإيرادات!F7</f>
        <v>562499.08851612906</v>
      </c>
      <c r="G5" s="47">
        <f>الإيرادات!G7</f>
        <v>562499.08851612906</v>
      </c>
      <c r="H5" s="47">
        <f>الإيرادات!H7</f>
        <v>562499.08851612906</v>
      </c>
      <c r="I5" s="47">
        <f>الإيرادات!I7</f>
        <v>562499.08851612906</v>
      </c>
      <c r="J5" s="47">
        <f>الإيرادات!J7</f>
        <v>562499.08851612906</v>
      </c>
      <c r="K5" s="47">
        <f>الإيرادات!K7</f>
        <v>562499.08851612906</v>
      </c>
      <c r="L5" s="47">
        <f>الإيرادات!L7</f>
        <v>562499.08851612906</v>
      </c>
      <c r="M5" s="47">
        <f>الإيرادات!M7</f>
        <v>562499.08851612906</v>
      </c>
      <c r="N5" s="12">
        <f t="shared" ref="N5:N15" si="0">SUM(D5:M5)</f>
        <v>5399991.2497548396</v>
      </c>
    </row>
    <row r="6" spans="1:14" x14ac:dyDescent="0.2">
      <c r="A6" s="9" t="s">
        <v>625</v>
      </c>
      <c r="B6" s="7" t="s">
        <v>75</v>
      </c>
      <c r="C6" s="11"/>
      <c r="D6" s="11">
        <f>'التكاليف التشغيلية'!D23</f>
        <v>223073.91999999998</v>
      </c>
      <c r="E6" s="11">
        <f>'التكاليف التشغيلية'!E23</f>
        <v>226359.27879999997</v>
      </c>
      <c r="F6" s="11">
        <f>'التكاليف التشغيلية'!F23</f>
        <v>232405.91798199993</v>
      </c>
      <c r="G6" s="11">
        <f>'التكاليف التشغيلية'!G23</f>
        <v>237574.99376422993</v>
      </c>
      <c r="H6" s="11">
        <f>'التكاليف التشغيلية'!H23</f>
        <v>243789.86867069334</v>
      </c>
      <c r="I6" s="11">
        <f>'التكاليف التشغيلية'!I23</f>
        <v>244633.28670075367</v>
      </c>
      <c r="J6" s="11">
        <f>'التكاليف التشغيلية'!J23</f>
        <v>255655.84203621832</v>
      </c>
      <c r="K6" s="11">
        <f>'التكاليف التشغيلية'!K23</f>
        <v>256677.24966676152</v>
      </c>
      <c r="L6" s="11">
        <f>'التكاليف التشغيلية'!L23</f>
        <v>263178.65841176297</v>
      </c>
      <c r="M6" s="11">
        <f>'التكاليف التشغيلية'!M23</f>
        <v>264312.90828793938</v>
      </c>
      <c r="N6" s="12">
        <f t="shared" si="0"/>
        <v>2447661.9243203588</v>
      </c>
    </row>
    <row r="7" spans="1:14" x14ac:dyDescent="0.2">
      <c r="A7" s="9" t="s">
        <v>626</v>
      </c>
      <c r="B7" s="7" t="s">
        <v>75</v>
      </c>
      <c r="C7" s="11"/>
      <c r="D7" s="11">
        <f>'التكاليف التشغيلية'!D25</f>
        <v>43862.288400000005</v>
      </c>
      <c r="E7" s="11">
        <f>'التكاليف التشغيلية'!E25</f>
        <v>57240.286362000006</v>
      </c>
      <c r="F7" s="11">
        <f>'التكاليف التشغيلية'!F25</f>
        <v>64554.322952699993</v>
      </c>
      <c r="G7" s="11">
        <f>'التكاليف التشغيلية'!G25</f>
        <v>65522.637796990486</v>
      </c>
      <c r="H7" s="11">
        <f>'التكاليف التشغيلية'!H25</f>
        <v>66505.477363945334</v>
      </c>
      <c r="I7" s="11">
        <f>'التكاليف التشغيلية'!I25</f>
        <v>67503.059524404511</v>
      </c>
      <c r="J7" s="11">
        <f>'التكاليف التشغيلية'!J25</f>
        <v>68515.605417270563</v>
      </c>
      <c r="K7" s="11">
        <f>'التكاليف التشغيلية'!K25</f>
        <v>69543.339498529604</v>
      </c>
      <c r="L7" s="11">
        <f>'التكاليف التشغيلية'!L25</f>
        <v>70586.489591007543</v>
      </c>
      <c r="M7" s="11">
        <f>'التكاليف التشغيلية'!M25</f>
        <v>71645.286934872653</v>
      </c>
      <c r="N7" s="12">
        <f t="shared" si="0"/>
        <v>645478.79384172068</v>
      </c>
    </row>
    <row r="8" spans="1:14" x14ac:dyDescent="0.2">
      <c r="A8" s="9" t="s">
        <v>627</v>
      </c>
      <c r="B8" s="7" t="s">
        <v>75</v>
      </c>
      <c r="C8" s="11"/>
      <c r="D8" s="11">
        <f>'التكاليف التشغيلية'!D26+'التكاليف التشغيلية'!D27</f>
        <v>23624.961717677419</v>
      </c>
      <c r="E8" s="11">
        <f>'التكاليف التشغيلية'!E26+'التكاليف التشغيلية'!E27</f>
        <v>30374.950779870967</v>
      </c>
      <c r="F8" s="11">
        <f>'التكاليف التشغيلية'!F26+'التكاليف التشغيلية'!F27</f>
        <v>33749.945310967749</v>
      </c>
      <c r="G8" s="11">
        <f>'التكاليف التشغيلية'!G26+'التكاليف التشغيلية'!G27</f>
        <v>33749.945310967749</v>
      </c>
      <c r="H8" s="11">
        <f>'التكاليف التشغيلية'!H26+'التكاليف التشغيلية'!H27</f>
        <v>33749.945310967749</v>
      </c>
      <c r="I8" s="11">
        <f>'التكاليف التشغيلية'!I26+'التكاليف التشغيلية'!I27</f>
        <v>33749.945310967749</v>
      </c>
      <c r="J8" s="11">
        <f>'التكاليف التشغيلية'!J26+'التكاليف التشغيلية'!J27</f>
        <v>33749.945310967749</v>
      </c>
      <c r="K8" s="11">
        <f>'التكاليف التشغيلية'!K26+'التكاليف التشغيلية'!K27</f>
        <v>33749.945310967749</v>
      </c>
      <c r="L8" s="11">
        <f>'التكاليف التشغيلية'!L26+'التكاليف التشغيلية'!L27</f>
        <v>33749.945310967749</v>
      </c>
      <c r="M8" s="11">
        <f>'التكاليف التشغيلية'!M26+'التكاليف التشغيلية'!M27</f>
        <v>33749.945310967749</v>
      </c>
      <c r="N8" s="12">
        <f t="shared" si="0"/>
        <v>323999.47498529032</v>
      </c>
    </row>
    <row r="9" spans="1:14" x14ac:dyDescent="0.2">
      <c r="A9" s="32" t="s">
        <v>628</v>
      </c>
      <c r="B9" s="7" t="s">
        <v>75</v>
      </c>
      <c r="C9" s="11"/>
      <c r="D9" s="12">
        <f t="shared" ref="D9:M9" si="1">SUM(D6:D8)</f>
        <v>290561.17011767742</v>
      </c>
      <c r="E9" s="12">
        <f t="shared" si="1"/>
        <v>313974.51594187092</v>
      </c>
      <c r="F9" s="12">
        <f t="shared" si="1"/>
        <v>330710.18624566763</v>
      </c>
      <c r="G9" s="12">
        <f t="shared" si="1"/>
        <v>336847.57687218813</v>
      </c>
      <c r="H9" s="12">
        <f t="shared" si="1"/>
        <v>344045.29134560644</v>
      </c>
      <c r="I9" s="12">
        <f t="shared" si="1"/>
        <v>345886.29153612594</v>
      </c>
      <c r="J9" s="12">
        <f t="shared" si="1"/>
        <v>357921.39276445663</v>
      </c>
      <c r="K9" s="12">
        <f t="shared" si="1"/>
        <v>359970.53447625885</v>
      </c>
      <c r="L9" s="12">
        <f t="shared" si="1"/>
        <v>367515.09331373824</v>
      </c>
      <c r="M9" s="12">
        <f t="shared" si="1"/>
        <v>369708.14053377975</v>
      </c>
      <c r="N9" s="12">
        <f t="shared" si="0"/>
        <v>3417140.1931473697</v>
      </c>
    </row>
    <row r="10" spans="1:14" x14ac:dyDescent="0.2">
      <c r="A10" s="32" t="s">
        <v>85</v>
      </c>
      <c r="B10" s="7" t="s">
        <v>75</v>
      </c>
      <c r="C10" s="11"/>
      <c r="D10" s="13">
        <f t="shared" ref="D10:M10" si="2">D5-D9</f>
        <v>103188.19184361288</v>
      </c>
      <c r="E10" s="13">
        <f t="shared" si="2"/>
        <v>192274.6637226452</v>
      </c>
      <c r="F10" s="13">
        <f t="shared" si="2"/>
        <v>231788.90227046143</v>
      </c>
      <c r="G10" s="13">
        <f t="shared" si="2"/>
        <v>225651.51164394093</v>
      </c>
      <c r="H10" s="13">
        <f t="shared" si="2"/>
        <v>218453.79717052262</v>
      </c>
      <c r="I10" s="13">
        <f t="shared" si="2"/>
        <v>216612.79698000313</v>
      </c>
      <c r="J10" s="13">
        <f t="shared" si="2"/>
        <v>204577.69575167244</v>
      </c>
      <c r="K10" s="13">
        <f t="shared" si="2"/>
        <v>202528.55403987021</v>
      </c>
      <c r="L10" s="13">
        <f t="shared" si="2"/>
        <v>194983.99520239083</v>
      </c>
      <c r="M10" s="13">
        <f t="shared" si="2"/>
        <v>192790.94798234932</v>
      </c>
      <c r="N10" s="12">
        <f t="shared" si="0"/>
        <v>1982851.056607469</v>
      </c>
    </row>
    <row r="11" spans="1:14" x14ac:dyDescent="0.2">
      <c r="A11" s="9" t="s">
        <v>629</v>
      </c>
      <c r="B11" s="7" t="s">
        <v>75</v>
      </c>
      <c r="C11" s="11"/>
      <c r="D11" s="11">
        <f>'الأصول والإهلاك'!D15</f>
        <v>20850</v>
      </c>
      <c r="E11" s="11">
        <f>'الأصول والإهلاك'!E15</f>
        <v>20850</v>
      </c>
      <c r="F11" s="11">
        <f>'الأصول والإهلاك'!F15</f>
        <v>20850</v>
      </c>
      <c r="G11" s="11">
        <f>'الأصول والإهلاك'!G15</f>
        <v>20850</v>
      </c>
      <c r="H11" s="11">
        <f>'الأصول والإهلاك'!H15</f>
        <v>20850</v>
      </c>
      <c r="I11" s="11">
        <f>'الأصول والإهلاك'!I15</f>
        <v>20850</v>
      </c>
      <c r="J11" s="11">
        <f>'الأصول والإهلاك'!J15</f>
        <v>20850</v>
      </c>
      <c r="K11" s="11">
        <f>'الأصول والإهلاك'!K15</f>
        <v>20850</v>
      </c>
      <c r="L11" s="11">
        <f>'الأصول والإهلاك'!L15</f>
        <v>20850</v>
      </c>
      <c r="M11" s="11">
        <f>'الأصول والإهلاك'!M15</f>
        <v>20850</v>
      </c>
      <c r="N11" s="12">
        <f t="shared" si="0"/>
        <v>208500</v>
      </c>
    </row>
    <row r="12" spans="1:14" x14ac:dyDescent="0.2">
      <c r="A12" s="9" t="s">
        <v>630</v>
      </c>
      <c r="B12" s="7" t="s">
        <v>75</v>
      </c>
      <c r="C12" s="11"/>
      <c r="D12" s="11">
        <f>IF(D$4&lt;=AmortYrs,PreOp/AmortYrs,0)</f>
        <v>22939.200000000001</v>
      </c>
      <c r="E12" s="11">
        <f>IF(E$4&lt;=AmortYrs,PreOp/AmortYrs,0)</f>
        <v>22939.200000000001</v>
      </c>
      <c r="F12" s="11">
        <f>IF(F$4&lt;=AmortYrs,PreOp/AmortYrs,0)</f>
        <v>22939.200000000001</v>
      </c>
      <c r="G12" s="11">
        <f>IF(G$4&lt;=AmortYrs,PreOp/AmortYrs,0)</f>
        <v>22939.200000000001</v>
      </c>
      <c r="H12" s="11">
        <f>IF(H$4&lt;=AmortYrs,PreOp/AmortYrs,0)</f>
        <v>22939.200000000001</v>
      </c>
      <c r="I12" s="11">
        <f>IF(I$4&lt;=AmortYrs,PreOp/AmortYrs,0)</f>
        <v>22939.200000000001</v>
      </c>
      <c r="J12" s="11">
        <f>IF(J$4&lt;=AmortYrs,PreOp/AmortYrs,0)</f>
        <v>22939.200000000001</v>
      </c>
      <c r="K12" s="11">
        <f>IF(K$4&lt;=AmortYrs,PreOp/AmortYrs,0)</f>
        <v>22939.200000000001</v>
      </c>
      <c r="L12" s="11">
        <f>IF(L$4&lt;=AmortYrs,PreOp/AmortYrs,0)</f>
        <v>22939.200000000001</v>
      </c>
      <c r="M12" s="11">
        <f>IF(M$4&lt;=AmortYrs,PreOp/AmortYrs,0)</f>
        <v>22939.200000000001</v>
      </c>
      <c r="N12" s="12">
        <f t="shared" si="0"/>
        <v>229392.00000000006</v>
      </c>
    </row>
    <row r="13" spans="1:14" x14ac:dyDescent="0.2">
      <c r="A13" s="32" t="s">
        <v>631</v>
      </c>
      <c r="B13" s="7" t="s">
        <v>75</v>
      </c>
      <c r="C13" s="11"/>
      <c r="D13" s="12">
        <f t="shared" ref="D13:M13" si="3">D10-D11-D12</f>
        <v>59398.991843612879</v>
      </c>
      <c r="E13" s="12">
        <f t="shared" si="3"/>
        <v>148485.46372264519</v>
      </c>
      <c r="F13" s="12">
        <f t="shared" si="3"/>
        <v>187999.70227046142</v>
      </c>
      <c r="G13" s="12">
        <f t="shared" si="3"/>
        <v>181862.31164394092</v>
      </c>
      <c r="H13" s="12">
        <f t="shared" si="3"/>
        <v>174664.59717052261</v>
      </c>
      <c r="I13" s="12">
        <f t="shared" si="3"/>
        <v>172823.59698000312</v>
      </c>
      <c r="J13" s="12">
        <f t="shared" si="3"/>
        <v>160788.49575167242</v>
      </c>
      <c r="K13" s="12">
        <f t="shared" si="3"/>
        <v>158739.3540398702</v>
      </c>
      <c r="L13" s="12">
        <f t="shared" si="3"/>
        <v>151194.79520239081</v>
      </c>
      <c r="M13" s="12">
        <f t="shared" si="3"/>
        <v>149001.7479823493</v>
      </c>
      <c r="N13" s="12">
        <f t="shared" si="0"/>
        <v>1544959.0566074688</v>
      </c>
    </row>
    <row r="14" spans="1:14" x14ac:dyDescent="0.2">
      <c r="A14" s="9" t="s">
        <v>632</v>
      </c>
      <c r="B14" s="7" t="s">
        <v>75</v>
      </c>
      <c r="C14" s="11"/>
      <c r="D14" s="11">
        <f>'التكلفة الاستثمارية والتمويل'!D29</f>
        <v>9000</v>
      </c>
      <c r="E14" s="11">
        <f>'التكلفة الاستثمارية والتمويل'!E29</f>
        <v>7403.4323961192922</v>
      </c>
      <c r="F14" s="11">
        <f>'التكلفة الاستثمارية والتمويل'!F29</f>
        <v>5711.0707360057431</v>
      </c>
      <c r="G14" s="11">
        <f>'التكلفة الاستثمارية والتمويل'!G29</f>
        <v>3917.1673762853811</v>
      </c>
      <c r="H14" s="11">
        <f>'التكلفة الاستثمارية والتمويل'!H29</f>
        <v>2015.6298149817976</v>
      </c>
      <c r="I14" s="11">
        <f>'التكلفة الاستثمارية والتمويل'!I29</f>
        <v>0</v>
      </c>
      <c r="J14" s="11">
        <f>'التكلفة الاستثمارية والتمويل'!J29</f>
        <v>0</v>
      </c>
      <c r="K14" s="11">
        <f>'التكلفة الاستثمارية والتمويل'!K29</f>
        <v>0</v>
      </c>
      <c r="L14" s="11">
        <f>'التكلفة الاستثمارية والتمويل'!L29</f>
        <v>0</v>
      </c>
      <c r="M14" s="11">
        <f>'التكلفة الاستثمارية والتمويل'!M29</f>
        <v>0</v>
      </c>
      <c r="N14" s="12">
        <f t="shared" si="0"/>
        <v>28047.300323392214</v>
      </c>
    </row>
    <row r="15" spans="1:14" x14ac:dyDescent="0.2">
      <c r="A15" s="32" t="s">
        <v>633</v>
      </c>
      <c r="B15" s="7" t="s">
        <v>75</v>
      </c>
      <c r="C15" s="11"/>
      <c r="D15" s="12">
        <f t="shared" ref="D15:M15" si="4">D13-D14</f>
        <v>50398.991843612879</v>
      </c>
      <c r="E15" s="12">
        <f t="shared" si="4"/>
        <v>141082.0313265259</v>
      </c>
      <c r="F15" s="12">
        <f t="shared" si="4"/>
        <v>182288.63153445566</v>
      </c>
      <c r="G15" s="12">
        <f t="shared" si="4"/>
        <v>177945.14426765553</v>
      </c>
      <c r="H15" s="12">
        <f t="shared" si="4"/>
        <v>172648.96735554081</v>
      </c>
      <c r="I15" s="12">
        <f t="shared" si="4"/>
        <v>172823.59698000312</v>
      </c>
      <c r="J15" s="12">
        <f t="shared" si="4"/>
        <v>160788.49575167242</v>
      </c>
      <c r="K15" s="12">
        <f t="shared" si="4"/>
        <v>158739.3540398702</v>
      </c>
      <c r="L15" s="12">
        <f t="shared" si="4"/>
        <v>151194.79520239081</v>
      </c>
      <c r="M15" s="12">
        <f t="shared" si="4"/>
        <v>149001.7479823493</v>
      </c>
      <c r="N15" s="12">
        <f t="shared" si="0"/>
        <v>1516911.7562840765</v>
      </c>
    </row>
    <row r="16" spans="1:14" x14ac:dyDescent="0.2">
      <c r="A16" s="9" t="s">
        <v>634</v>
      </c>
      <c r="B16" s="7" t="s">
        <v>75</v>
      </c>
      <c r="C16" s="11"/>
      <c r="D16" s="11">
        <f t="shared" ref="D16:M16" si="5">C17</f>
        <v>0</v>
      </c>
      <c r="E16" s="11">
        <f t="shared" si="5"/>
        <v>0</v>
      </c>
      <c r="F16" s="11">
        <f t="shared" si="5"/>
        <v>0</v>
      </c>
      <c r="G16" s="11">
        <f t="shared" si="5"/>
        <v>0</v>
      </c>
      <c r="H16" s="11">
        <f t="shared" si="5"/>
        <v>0</v>
      </c>
      <c r="I16" s="11">
        <f t="shared" si="5"/>
        <v>0</v>
      </c>
      <c r="J16" s="11">
        <f t="shared" si="5"/>
        <v>0</v>
      </c>
      <c r="K16" s="11">
        <f t="shared" si="5"/>
        <v>0</v>
      </c>
      <c r="L16" s="11">
        <f t="shared" si="5"/>
        <v>0</v>
      </c>
      <c r="M16" s="11">
        <f t="shared" si="5"/>
        <v>0</v>
      </c>
      <c r="N16" s="11"/>
    </row>
    <row r="17" spans="1:14" x14ac:dyDescent="0.2">
      <c r="A17" s="9" t="s">
        <v>635</v>
      </c>
      <c r="B17" s="7" t="s">
        <v>75</v>
      </c>
      <c r="C17" s="11">
        <v>0</v>
      </c>
      <c r="D17" s="11">
        <f t="shared" ref="D17:M17" si="6">MAX(0,D16-D15)</f>
        <v>0</v>
      </c>
      <c r="E17" s="11">
        <f t="shared" si="6"/>
        <v>0</v>
      </c>
      <c r="F17" s="11">
        <f t="shared" si="6"/>
        <v>0</v>
      </c>
      <c r="G17" s="11">
        <f t="shared" si="6"/>
        <v>0</v>
      </c>
      <c r="H17" s="11">
        <f t="shared" si="6"/>
        <v>0</v>
      </c>
      <c r="I17" s="11">
        <f t="shared" si="6"/>
        <v>0</v>
      </c>
      <c r="J17" s="11">
        <f t="shared" si="6"/>
        <v>0</v>
      </c>
      <c r="K17" s="11">
        <f t="shared" si="6"/>
        <v>0</v>
      </c>
      <c r="L17" s="11">
        <f t="shared" si="6"/>
        <v>0</v>
      </c>
      <c r="M17" s="11">
        <f t="shared" si="6"/>
        <v>0</v>
      </c>
      <c r="N17" s="11"/>
    </row>
    <row r="18" spans="1:14" x14ac:dyDescent="0.2">
      <c r="A18" s="9" t="s">
        <v>636</v>
      </c>
      <c r="B18" s="7" t="s">
        <v>75</v>
      </c>
      <c r="C18" s="11"/>
      <c r="D18" s="11">
        <f t="shared" ref="D18:M18" si="7">MAX(0,D15-D16)</f>
        <v>50398.991843612879</v>
      </c>
      <c r="E18" s="11">
        <f t="shared" si="7"/>
        <v>141082.0313265259</v>
      </c>
      <c r="F18" s="11">
        <f t="shared" si="7"/>
        <v>182288.63153445566</v>
      </c>
      <c r="G18" s="11">
        <f t="shared" si="7"/>
        <v>177945.14426765553</v>
      </c>
      <c r="H18" s="11">
        <f t="shared" si="7"/>
        <v>172648.96735554081</v>
      </c>
      <c r="I18" s="11">
        <f t="shared" si="7"/>
        <v>172823.59698000312</v>
      </c>
      <c r="J18" s="11">
        <f t="shared" si="7"/>
        <v>160788.49575167242</v>
      </c>
      <c r="K18" s="11">
        <f t="shared" si="7"/>
        <v>158739.3540398702</v>
      </c>
      <c r="L18" s="11">
        <f t="shared" si="7"/>
        <v>151194.79520239081</v>
      </c>
      <c r="M18" s="11">
        <f t="shared" si="7"/>
        <v>149001.7479823493</v>
      </c>
      <c r="N18" s="12">
        <f t="shared" ref="N18:N20" si="8">SUM(D18:M18)</f>
        <v>1516911.7562840765</v>
      </c>
    </row>
    <row r="19" spans="1:14" x14ac:dyDescent="0.2">
      <c r="A19" s="9" t="s">
        <v>178</v>
      </c>
      <c r="B19" s="7" t="s">
        <v>75</v>
      </c>
      <c r="C19" s="11"/>
      <c r="D19" s="11">
        <f>D18*TaxRate</f>
        <v>7559.8487765419313</v>
      </c>
      <c r="E19" s="11">
        <f>E18*TaxRate</f>
        <v>21162.304698978885</v>
      </c>
      <c r="F19" s="11">
        <f>F18*TaxRate</f>
        <v>27343.294730168349</v>
      </c>
      <c r="G19" s="11">
        <f>G18*TaxRate</f>
        <v>26691.77164014833</v>
      </c>
      <c r="H19" s="11">
        <f>H18*TaxRate</f>
        <v>25897.345103331121</v>
      </c>
      <c r="I19" s="11">
        <f>I18*TaxRate</f>
        <v>25923.539547000466</v>
      </c>
      <c r="J19" s="11">
        <f>J18*TaxRate</f>
        <v>24118.274362750864</v>
      </c>
      <c r="K19" s="11">
        <f>K18*TaxRate</f>
        <v>23810.903105980531</v>
      </c>
      <c r="L19" s="11">
        <f>L18*TaxRate</f>
        <v>22679.219280358622</v>
      </c>
      <c r="M19" s="11">
        <f>M18*TaxRate</f>
        <v>22350.262197352396</v>
      </c>
      <c r="N19" s="12">
        <f t="shared" si="8"/>
        <v>227536.76344261153</v>
      </c>
    </row>
    <row r="20" spans="1:14" x14ac:dyDescent="0.2">
      <c r="A20" s="32" t="s">
        <v>86</v>
      </c>
      <c r="B20" s="7" t="s">
        <v>75</v>
      </c>
      <c r="C20" s="11"/>
      <c r="D20" s="13">
        <f t="shared" ref="D20:M20" si="9">D15-D19</f>
        <v>42839.143067070945</v>
      </c>
      <c r="E20" s="13">
        <f t="shared" si="9"/>
        <v>119919.72662754702</v>
      </c>
      <c r="F20" s="13">
        <f t="shared" si="9"/>
        <v>154945.3368042873</v>
      </c>
      <c r="G20" s="13">
        <f t="shared" si="9"/>
        <v>151253.3726275072</v>
      </c>
      <c r="H20" s="13">
        <f t="shared" si="9"/>
        <v>146751.62225220969</v>
      </c>
      <c r="I20" s="13">
        <f t="shared" si="9"/>
        <v>146900.05743300266</v>
      </c>
      <c r="J20" s="13">
        <f t="shared" si="9"/>
        <v>136670.22138892155</v>
      </c>
      <c r="K20" s="13">
        <f t="shared" si="9"/>
        <v>134928.45093388966</v>
      </c>
      <c r="L20" s="13">
        <f t="shared" si="9"/>
        <v>128515.57592203219</v>
      </c>
      <c r="M20" s="13">
        <f t="shared" si="9"/>
        <v>126651.48578499691</v>
      </c>
      <c r="N20" s="12">
        <f t="shared" si="8"/>
        <v>1289374.9928414652</v>
      </c>
    </row>
    <row r="21" spans="1:14" x14ac:dyDescent="0.2">
      <c r="A21" s="9" t="s">
        <v>637</v>
      </c>
      <c r="B21" s="7" t="s">
        <v>72</v>
      </c>
      <c r="C21" s="11"/>
      <c r="D21" s="17">
        <f t="shared" ref="D21:M21" si="10">IF(D5&gt;0,D10/D5,0)</f>
        <v>0.26206567378198664</v>
      </c>
      <c r="E21" s="17">
        <f t="shared" si="10"/>
        <v>0.37980242032206907</v>
      </c>
      <c r="F21" s="17">
        <f t="shared" si="10"/>
        <v>0.4120698273163782</v>
      </c>
      <c r="G21" s="17">
        <f t="shared" si="10"/>
        <v>0.40115889296675833</v>
      </c>
      <c r="H21" s="17">
        <f t="shared" si="10"/>
        <v>0.38836293539035432</v>
      </c>
      <c r="I21" s="17">
        <f t="shared" si="10"/>
        <v>0.3850900408593142</v>
      </c>
      <c r="J21" s="17">
        <f t="shared" si="10"/>
        <v>0.36369427067223842</v>
      </c>
      <c r="K21" s="17">
        <f t="shared" si="10"/>
        <v>0.36005134617042661</v>
      </c>
      <c r="L21" s="17">
        <f t="shared" si="10"/>
        <v>0.3466387753920776</v>
      </c>
      <c r="M21" s="17">
        <f t="shared" si="10"/>
        <v>0.34274001846106322</v>
      </c>
      <c r="N21" s="46">
        <f>IF(N5&gt;0,N10/N5,0)</f>
        <v>0.36719523512144409</v>
      </c>
    </row>
    <row r="22" spans="1:14" x14ac:dyDescent="0.2">
      <c r="A22" s="9" t="s">
        <v>638</v>
      </c>
      <c r="B22" s="7" t="s">
        <v>72</v>
      </c>
      <c r="C22" s="11"/>
      <c r="D22" s="17">
        <f t="shared" ref="D22:M22" si="11">IF(D5&gt;0,D20/D5,0)</f>
        <v>0.10879799996039735</v>
      </c>
      <c r="E22" s="17">
        <f t="shared" si="11"/>
        <v>0.23687885619294446</v>
      </c>
      <c r="F22" s="17">
        <f t="shared" si="11"/>
        <v>0.27545882289877599</v>
      </c>
      <c r="G22" s="17">
        <f t="shared" si="11"/>
        <v>0.26889532039334169</v>
      </c>
      <c r="H22" s="17">
        <f t="shared" si="11"/>
        <v>0.26089219564664545</v>
      </c>
      <c r="I22" s="17">
        <f t="shared" si="11"/>
        <v>0.26115608084010333</v>
      </c>
      <c r="J22" s="17">
        <f t="shared" si="11"/>
        <v>0.24296967618108892</v>
      </c>
      <c r="K22" s="17">
        <f t="shared" si="11"/>
        <v>0.23987319035454888</v>
      </c>
      <c r="L22" s="17">
        <f t="shared" si="11"/>
        <v>0.22847250519295223</v>
      </c>
      <c r="M22" s="17">
        <f t="shared" si="11"/>
        <v>0.22515856180159005</v>
      </c>
      <c r="N22" s="46">
        <f>IF(N5&gt;0,N20/N5,0)</f>
        <v>0.23877353373489318</v>
      </c>
    </row>
    <row r="23" spans="1:14" x14ac:dyDescent="0.2">
      <c r="A23" s="5" t="s">
        <v>639</v>
      </c>
    </row>
  </sheetData>
  <pageMargins left="0.3888888888888889" right="0.3888888888888889" top="0.5" bottom="0.5" header="0.3" footer="0.3"/>
  <pageSetup paperSize="9" scale="62" fitToHeight="0" orientation="landscape" verticalDpi="0" r:id="rId1"/>
  <headerFooter>
    <oddFooter>&amp;C&amp;P /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16CCA-3013-4A3B-AAA1-083B9A617B11}">
  <sheetPr>
    <tabColor rgb="FF002060"/>
    <pageSetUpPr fitToPage="1"/>
  </sheetPr>
  <dimension ref="A1:N27"/>
  <sheetViews>
    <sheetView showGridLines="0" rightToLeft="1"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2.75" x14ac:dyDescent="0.2"/>
  <cols>
    <col min="1" max="1" width="48.7109375" style="1" customWidth="1"/>
    <col min="2" max="2" width="14.7109375" style="1" customWidth="1"/>
    <col min="3" max="14" width="13.7109375" style="1" customWidth="1"/>
    <col min="15" max="16384" width="9.140625" style="1"/>
  </cols>
  <sheetData>
    <row r="1" spans="1:14" ht="20.25" x14ac:dyDescent="0.2">
      <c r="A1" s="3" t="s">
        <v>640</v>
      </c>
    </row>
    <row r="2" spans="1:14" x14ac:dyDescent="0.2">
      <c r="A2" s="5" t="s">
        <v>641</v>
      </c>
    </row>
    <row r="4" spans="1:14" x14ac:dyDescent="0.2">
      <c r="A4" s="6" t="s">
        <v>107</v>
      </c>
      <c r="B4" s="6" t="s">
        <v>57</v>
      </c>
      <c r="C4" s="36">
        <v>0</v>
      </c>
      <c r="D4" s="37">
        <v>1</v>
      </c>
      <c r="E4" s="37">
        <v>2</v>
      </c>
      <c r="F4" s="37">
        <v>3</v>
      </c>
      <c r="G4" s="37">
        <v>4</v>
      </c>
      <c r="H4" s="37">
        <v>5</v>
      </c>
      <c r="I4" s="37">
        <v>6</v>
      </c>
      <c r="J4" s="37">
        <v>7</v>
      </c>
      <c r="K4" s="37">
        <v>8</v>
      </c>
      <c r="L4" s="37">
        <v>9</v>
      </c>
      <c r="M4" s="37">
        <v>10</v>
      </c>
      <c r="N4" s="6" t="s">
        <v>357</v>
      </c>
    </row>
    <row r="5" spans="1:14" x14ac:dyDescent="0.2">
      <c r="A5" s="15" t="s">
        <v>642</v>
      </c>
      <c r="B5" s="15"/>
      <c r="C5" s="15"/>
      <c r="D5" s="15"/>
      <c r="E5" s="15"/>
      <c r="F5" s="15"/>
      <c r="G5" s="15"/>
      <c r="H5" s="15"/>
      <c r="I5" s="15"/>
      <c r="J5" s="15"/>
      <c r="K5" s="15"/>
      <c r="L5" s="15"/>
      <c r="M5" s="15"/>
      <c r="N5" s="15"/>
    </row>
    <row r="6" spans="1:14" x14ac:dyDescent="0.2">
      <c r="A6" s="9" t="s">
        <v>29</v>
      </c>
      <c r="B6" s="7" t="s">
        <v>75</v>
      </c>
      <c r="C6" s="11">
        <v>0</v>
      </c>
      <c r="D6" s="11">
        <f>الإيرادات!D7</f>
        <v>393749.3619612903</v>
      </c>
      <c r="E6" s="11">
        <f>الإيرادات!E7</f>
        <v>506249.17966451612</v>
      </c>
      <c r="F6" s="11">
        <f>الإيرادات!F7</f>
        <v>562499.08851612906</v>
      </c>
      <c r="G6" s="11">
        <f>الإيرادات!G7</f>
        <v>562499.08851612906</v>
      </c>
      <c r="H6" s="11">
        <f>الإيرادات!H7</f>
        <v>562499.08851612906</v>
      </c>
      <c r="I6" s="11">
        <f>الإيرادات!I7</f>
        <v>562499.08851612906</v>
      </c>
      <c r="J6" s="11">
        <f>الإيرادات!J7</f>
        <v>562499.08851612906</v>
      </c>
      <c r="K6" s="11">
        <f>الإيرادات!K7</f>
        <v>562499.08851612906</v>
      </c>
      <c r="L6" s="11">
        <f>الإيرادات!L7</f>
        <v>562499.08851612906</v>
      </c>
      <c r="M6" s="11">
        <f>الإيرادات!M7</f>
        <v>562499.08851612906</v>
      </c>
      <c r="N6" s="12">
        <f t="shared" ref="N6:N14" si="0">SUM(C6:M6)</f>
        <v>5399991.2497548396</v>
      </c>
    </row>
    <row r="7" spans="1:14" x14ac:dyDescent="0.2">
      <c r="A7" s="9" t="s">
        <v>643</v>
      </c>
      <c r="B7" s="7" t="s">
        <v>75</v>
      </c>
      <c r="C7" s="11">
        <v>0</v>
      </c>
      <c r="D7" s="11">
        <f>-'التكاليف التشغيلية'!D29</f>
        <v>-290561.17011767742</v>
      </c>
      <c r="E7" s="11">
        <f>-'التكاليف التشغيلية'!E29</f>
        <v>-313974.51594187098</v>
      </c>
      <c r="F7" s="11">
        <f>-'التكاليف التشغيلية'!F29</f>
        <v>-330710.18624566763</v>
      </c>
      <c r="G7" s="11">
        <f>-'التكاليف التشغيلية'!G29</f>
        <v>-336847.57687218813</v>
      </c>
      <c r="H7" s="11">
        <f>-'التكاليف التشغيلية'!H29</f>
        <v>-344045.29134560644</v>
      </c>
      <c r="I7" s="11">
        <f>-'التكاليف التشغيلية'!I29</f>
        <v>-345886.29153612594</v>
      </c>
      <c r="J7" s="11">
        <f>-'التكاليف التشغيلية'!J29</f>
        <v>-357921.39276445663</v>
      </c>
      <c r="K7" s="11">
        <f>-'التكاليف التشغيلية'!K29</f>
        <v>-359970.53447625885</v>
      </c>
      <c r="L7" s="11">
        <f>-'التكاليف التشغيلية'!L29</f>
        <v>-367515.09331373824</v>
      </c>
      <c r="M7" s="11">
        <f>-'التكاليف التشغيلية'!M29</f>
        <v>-369708.14053377975</v>
      </c>
      <c r="N7" s="12">
        <f t="shared" si="0"/>
        <v>-3417140.1931473697</v>
      </c>
    </row>
    <row r="8" spans="1:14" x14ac:dyDescent="0.2">
      <c r="A8" s="9" t="s">
        <v>178</v>
      </c>
      <c r="B8" s="7" t="s">
        <v>75</v>
      </c>
      <c r="C8" s="11">
        <v>0</v>
      </c>
      <c r="D8" s="11">
        <f>-'قائمة الدخل'!D19</f>
        <v>-7559.8487765419313</v>
      </c>
      <c r="E8" s="11">
        <f>-'قائمة الدخل'!E19</f>
        <v>-21162.304698978885</v>
      </c>
      <c r="F8" s="11">
        <f>-'قائمة الدخل'!F19</f>
        <v>-27343.294730168349</v>
      </c>
      <c r="G8" s="11">
        <f>-'قائمة الدخل'!G19</f>
        <v>-26691.77164014833</v>
      </c>
      <c r="H8" s="11">
        <f>-'قائمة الدخل'!H19</f>
        <v>-25897.345103331121</v>
      </c>
      <c r="I8" s="11">
        <f>-'قائمة الدخل'!I19</f>
        <v>-25923.539547000466</v>
      </c>
      <c r="J8" s="11">
        <f>-'قائمة الدخل'!J19</f>
        <v>-24118.274362750864</v>
      </c>
      <c r="K8" s="11">
        <f>-'قائمة الدخل'!K19</f>
        <v>-23810.903105980531</v>
      </c>
      <c r="L8" s="11">
        <f>-'قائمة الدخل'!L19</f>
        <v>-22679.219280358622</v>
      </c>
      <c r="M8" s="11">
        <f>-'قائمة الدخل'!M19</f>
        <v>-22350.262197352396</v>
      </c>
      <c r="N8" s="12">
        <f t="shared" si="0"/>
        <v>-227536.76344261153</v>
      </c>
    </row>
    <row r="9" spans="1:14" x14ac:dyDescent="0.2">
      <c r="A9" s="9" t="s">
        <v>644</v>
      </c>
      <c r="B9" s="7" t="s">
        <v>75</v>
      </c>
      <c r="C9" s="11">
        <f>-FixedAssets</f>
        <v>-222500</v>
      </c>
      <c r="D9" s="11">
        <f>-'الأصول والإهلاك'!D16</f>
        <v>0</v>
      </c>
      <c r="E9" s="11">
        <f>-'الأصول والإهلاك'!E16</f>
        <v>0</v>
      </c>
      <c r="F9" s="11">
        <f>-'الأصول والإهلاك'!F16</f>
        <v>0</v>
      </c>
      <c r="G9" s="11">
        <f>-'الأصول والإهلاك'!G16</f>
        <v>0</v>
      </c>
      <c r="H9" s="11">
        <f>-'الأصول والإهلاك'!H16</f>
        <v>0</v>
      </c>
      <c r="I9" s="11">
        <f>-'الأصول والإهلاك'!I16</f>
        <v>-7500</v>
      </c>
      <c r="J9" s="11">
        <f>-'الأصول والإهلاك'!J16</f>
        <v>0</v>
      </c>
      <c r="K9" s="11">
        <f>-'الأصول والإهلاك'!K16</f>
        <v>0</v>
      </c>
      <c r="L9" s="11">
        <f>-'الأصول والإهلاك'!L16</f>
        <v>0</v>
      </c>
      <c r="M9" s="11">
        <f>-'الأصول والإهلاك'!M16</f>
        <v>0</v>
      </c>
      <c r="N9" s="12">
        <f t="shared" si="0"/>
        <v>-230000</v>
      </c>
    </row>
    <row r="10" spans="1:14" x14ac:dyDescent="0.2">
      <c r="A10" s="9" t="s">
        <v>21</v>
      </c>
      <c r="B10" s="7" t="s">
        <v>75</v>
      </c>
      <c r="C10" s="11">
        <f>-PreOp</f>
        <v>-229392</v>
      </c>
      <c r="D10" s="11">
        <f>0</f>
        <v>0</v>
      </c>
      <c r="E10" s="11">
        <f>0</f>
        <v>0</v>
      </c>
      <c r="F10" s="11">
        <f>0</f>
        <v>0</v>
      </c>
      <c r="G10" s="11">
        <f>0</f>
        <v>0</v>
      </c>
      <c r="H10" s="11">
        <f>0</f>
        <v>0</v>
      </c>
      <c r="I10" s="11">
        <f>0</f>
        <v>0</v>
      </c>
      <c r="J10" s="11">
        <f>0</f>
        <v>0</v>
      </c>
      <c r="K10" s="11">
        <f>0</f>
        <v>0</v>
      </c>
      <c r="L10" s="11">
        <f>0</f>
        <v>0</v>
      </c>
      <c r="M10" s="11">
        <f>0</f>
        <v>0</v>
      </c>
      <c r="N10" s="12">
        <f t="shared" si="0"/>
        <v>-229392</v>
      </c>
    </row>
    <row r="11" spans="1:14" x14ac:dyDescent="0.2">
      <c r="A11" s="9" t="s">
        <v>645</v>
      </c>
      <c r="B11" s="7" t="s">
        <v>75</v>
      </c>
      <c r="C11" s="11">
        <f>-BankGuar</f>
        <v>-55000</v>
      </c>
      <c r="D11" s="11">
        <f>0</f>
        <v>0</v>
      </c>
      <c r="E11" s="11">
        <f>0</f>
        <v>0</v>
      </c>
      <c r="F11" s="11">
        <f>0</f>
        <v>0</v>
      </c>
      <c r="G11" s="11">
        <f>0</f>
        <v>0</v>
      </c>
      <c r="H11" s="11">
        <f>0</f>
        <v>0</v>
      </c>
      <c r="I11" s="11">
        <f>0</f>
        <v>0</v>
      </c>
      <c r="J11" s="11">
        <f>0</f>
        <v>0</v>
      </c>
      <c r="K11" s="11">
        <f>0</f>
        <v>0</v>
      </c>
      <c r="L11" s="11">
        <f>0</f>
        <v>0</v>
      </c>
      <c r="M11" s="11">
        <f>BankGuar</f>
        <v>55000</v>
      </c>
      <c r="N11" s="12">
        <f t="shared" si="0"/>
        <v>0</v>
      </c>
    </row>
    <row r="12" spans="1:14" x14ac:dyDescent="0.2">
      <c r="A12" s="9" t="s">
        <v>646</v>
      </c>
      <c r="B12" s="7" t="s">
        <v>75</v>
      </c>
      <c r="C12" s="11">
        <f>-WorkCap</f>
        <v>-72640.292529419356</v>
      </c>
      <c r="D12" s="11">
        <f>0</f>
        <v>0</v>
      </c>
      <c r="E12" s="11">
        <f>0</f>
        <v>0</v>
      </c>
      <c r="F12" s="11">
        <f>0</f>
        <v>0</v>
      </c>
      <c r="G12" s="11">
        <f>0</f>
        <v>0</v>
      </c>
      <c r="H12" s="11">
        <f>0</f>
        <v>0</v>
      </c>
      <c r="I12" s="11">
        <f>0</f>
        <v>0</v>
      </c>
      <c r="J12" s="11">
        <f>0</f>
        <v>0</v>
      </c>
      <c r="K12" s="11">
        <f>0</f>
        <v>0</v>
      </c>
      <c r="L12" s="11">
        <f>0</f>
        <v>0</v>
      </c>
      <c r="M12" s="11">
        <f>WorkCap</f>
        <v>72640.292529419356</v>
      </c>
      <c r="N12" s="12">
        <f t="shared" si="0"/>
        <v>0</v>
      </c>
    </row>
    <row r="13" spans="1:14" x14ac:dyDescent="0.2">
      <c r="A13" s="9" t="s">
        <v>647</v>
      </c>
      <c r="B13" s="7" t="s">
        <v>75</v>
      </c>
      <c r="C13" s="11">
        <v>0</v>
      </c>
      <c r="D13" s="11">
        <f>0</f>
        <v>0</v>
      </c>
      <c r="E13" s="11">
        <f>0</f>
        <v>0</v>
      </c>
      <c r="F13" s="11">
        <f>0</f>
        <v>0</v>
      </c>
      <c r="G13" s="11">
        <f>0</f>
        <v>0</v>
      </c>
      <c r="H13" s="11">
        <f>0</f>
        <v>0</v>
      </c>
      <c r="I13" s="11">
        <f>0</f>
        <v>0</v>
      </c>
      <c r="J13" s="11">
        <f>0</f>
        <v>0</v>
      </c>
      <c r="K13" s="11">
        <f>0</f>
        <v>0</v>
      </c>
      <c r="L13" s="11">
        <f>0</f>
        <v>0</v>
      </c>
      <c r="M13" s="11">
        <f>'الأصول والإهلاك'!M19</f>
        <v>21500</v>
      </c>
      <c r="N13" s="12">
        <f t="shared" si="0"/>
        <v>21500</v>
      </c>
    </row>
    <row r="14" spans="1:14" x14ac:dyDescent="0.2">
      <c r="A14" s="32" t="s">
        <v>648</v>
      </c>
      <c r="B14" s="7" t="s">
        <v>75</v>
      </c>
      <c r="C14" s="13">
        <f t="shared" ref="C14:M14" si="1">SUM(C6:C13)</f>
        <v>-579532.2925294193</v>
      </c>
      <c r="D14" s="13">
        <f t="shared" si="1"/>
        <v>95628.343067070949</v>
      </c>
      <c r="E14" s="13">
        <f t="shared" si="1"/>
        <v>171112.35902366624</v>
      </c>
      <c r="F14" s="13">
        <f t="shared" si="1"/>
        <v>204445.60754029307</v>
      </c>
      <c r="G14" s="13">
        <f t="shared" si="1"/>
        <v>198959.7400037926</v>
      </c>
      <c r="H14" s="13">
        <f t="shared" si="1"/>
        <v>192556.45206719151</v>
      </c>
      <c r="I14" s="13">
        <f t="shared" si="1"/>
        <v>183189.25743300267</v>
      </c>
      <c r="J14" s="13">
        <f t="shared" si="1"/>
        <v>180459.42138892156</v>
      </c>
      <c r="K14" s="13">
        <f t="shared" si="1"/>
        <v>178717.65093388967</v>
      </c>
      <c r="L14" s="13">
        <f t="shared" si="1"/>
        <v>172304.77592203219</v>
      </c>
      <c r="M14" s="13">
        <f t="shared" si="1"/>
        <v>319580.97831441625</v>
      </c>
      <c r="N14" s="12">
        <f t="shared" si="0"/>
        <v>1317422.2931648574</v>
      </c>
    </row>
    <row r="15" spans="1:14" x14ac:dyDescent="0.2">
      <c r="A15" s="9" t="s">
        <v>649</v>
      </c>
      <c r="B15" s="7" t="s">
        <v>75</v>
      </c>
      <c r="C15" s="11">
        <f>C14</f>
        <v>-579532.2925294193</v>
      </c>
      <c r="D15" s="11">
        <f t="shared" ref="D15:M15" si="2">C15+D14</f>
        <v>-483903.94946234836</v>
      </c>
      <c r="E15" s="11">
        <f t="shared" si="2"/>
        <v>-312791.59043868212</v>
      </c>
      <c r="F15" s="11">
        <f t="shared" si="2"/>
        <v>-108345.98289838905</v>
      </c>
      <c r="G15" s="11">
        <f t="shared" si="2"/>
        <v>90613.757105403551</v>
      </c>
      <c r="H15" s="11">
        <f t="shared" si="2"/>
        <v>283170.20917259506</v>
      </c>
      <c r="I15" s="11">
        <f t="shared" si="2"/>
        <v>466359.46660559776</v>
      </c>
      <c r="J15" s="11">
        <f t="shared" si="2"/>
        <v>646818.88799451932</v>
      </c>
      <c r="K15" s="11">
        <f t="shared" si="2"/>
        <v>825536.53892840899</v>
      </c>
      <c r="L15" s="11">
        <f t="shared" si="2"/>
        <v>997841.31485044118</v>
      </c>
      <c r="M15" s="11">
        <f t="shared" si="2"/>
        <v>1317422.2931648574</v>
      </c>
      <c r="N15" s="11"/>
    </row>
    <row r="16" spans="1:14" x14ac:dyDescent="0.2">
      <c r="A16" s="9" t="s">
        <v>650</v>
      </c>
      <c r="B16" s="7" t="s">
        <v>573</v>
      </c>
      <c r="C16" s="44">
        <f>1/(1+DiscRate)^C$4</f>
        <v>1</v>
      </c>
      <c r="D16" s="44">
        <f>1/(1+DiscRate)^D$4</f>
        <v>0.89285714285714279</v>
      </c>
      <c r="E16" s="44">
        <f>1/(1+DiscRate)^E$4</f>
        <v>0.79719387755102034</v>
      </c>
      <c r="F16" s="44">
        <f>1/(1+DiscRate)^F$4</f>
        <v>0.71178024781341087</v>
      </c>
      <c r="G16" s="44">
        <f>1/(1+DiscRate)^G$4</f>
        <v>0.63551807840483121</v>
      </c>
      <c r="H16" s="44">
        <f>1/(1+DiscRate)^H$4</f>
        <v>0.56742685571859919</v>
      </c>
      <c r="I16" s="44">
        <f>1/(1+DiscRate)^I$4</f>
        <v>0.50663112117732068</v>
      </c>
      <c r="J16" s="44">
        <f>1/(1+DiscRate)^J$4</f>
        <v>0.45234921533689343</v>
      </c>
      <c r="K16" s="44">
        <f>1/(1+DiscRate)^K$4</f>
        <v>0.4038832279793691</v>
      </c>
      <c r="L16" s="44">
        <f>1/(1+DiscRate)^L$4</f>
        <v>0.36061002498157957</v>
      </c>
      <c r="M16" s="44">
        <f>1/(1+DiscRate)^M$4</f>
        <v>0.32197323659069599</v>
      </c>
      <c r="N16" s="11"/>
    </row>
    <row r="17" spans="1:14" x14ac:dyDescent="0.2">
      <c r="A17" s="9" t="s">
        <v>651</v>
      </c>
      <c r="B17" s="7" t="s">
        <v>75</v>
      </c>
      <c r="C17" s="11">
        <f t="shared" ref="C17:M17" si="3">C14*C16</f>
        <v>-579532.2925294193</v>
      </c>
      <c r="D17" s="11">
        <f t="shared" si="3"/>
        <v>85382.449167027633</v>
      </c>
      <c r="E17" s="11">
        <f t="shared" si="3"/>
        <v>136409.72498697881</v>
      </c>
      <c r="F17" s="11">
        <f t="shared" si="3"/>
        <v>145520.34519939314</v>
      </c>
      <c r="G17" s="11">
        <f t="shared" si="3"/>
        <v>126442.51164713509</v>
      </c>
      <c r="H17" s="11">
        <f t="shared" si="3"/>
        <v>109261.70214481563</v>
      </c>
      <c r="I17" s="11">
        <f t="shared" si="3"/>
        <v>92809.378880922974</v>
      </c>
      <c r="J17" s="11">
        <f t="shared" si="3"/>
        <v>81630.677665428477</v>
      </c>
      <c r="K17" s="11">
        <f t="shared" si="3"/>
        <v>72181.061756069466</v>
      </c>
      <c r="L17" s="11">
        <f t="shared" si="3"/>
        <v>62134.829549689501</v>
      </c>
      <c r="M17" s="11">
        <f t="shared" si="3"/>
        <v>102896.52194071363</v>
      </c>
      <c r="N17" s="12">
        <f>SUM(C17:M17)</f>
        <v>435136.91040875501</v>
      </c>
    </row>
    <row r="18" spans="1:14" x14ac:dyDescent="0.2">
      <c r="A18" s="9" t="s">
        <v>652</v>
      </c>
      <c r="B18" s="7" t="s">
        <v>75</v>
      </c>
      <c r="C18" s="11">
        <f>C17</f>
        <v>-579532.2925294193</v>
      </c>
      <c r="D18" s="11">
        <f t="shared" ref="D18:M18" si="4">C18+D17</f>
        <v>-494149.84336239169</v>
      </c>
      <c r="E18" s="11">
        <f t="shared" si="4"/>
        <v>-357740.11837541289</v>
      </c>
      <c r="F18" s="11">
        <f t="shared" si="4"/>
        <v>-212219.77317601975</v>
      </c>
      <c r="G18" s="11">
        <f t="shared" si="4"/>
        <v>-85777.261528884657</v>
      </c>
      <c r="H18" s="11">
        <f t="shared" si="4"/>
        <v>23484.440615930973</v>
      </c>
      <c r="I18" s="11">
        <f t="shared" si="4"/>
        <v>116293.81949685395</v>
      </c>
      <c r="J18" s="11">
        <f t="shared" si="4"/>
        <v>197924.49716228241</v>
      </c>
      <c r="K18" s="11">
        <f t="shared" si="4"/>
        <v>270105.55891835189</v>
      </c>
      <c r="L18" s="11">
        <f t="shared" si="4"/>
        <v>332240.38846804138</v>
      </c>
      <c r="M18" s="11">
        <f t="shared" si="4"/>
        <v>435136.91040875501</v>
      </c>
      <c r="N18" s="11"/>
    </row>
    <row r="19" spans="1:14" x14ac:dyDescent="0.2">
      <c r="A19" s="15" t="s">
        <v>653</v>
      </c>
      <c r="B19" s="15"/>
      <c r="C19" s="15"/>
      <c r="D19" s="15"/>
      <c r="E19" s="15"/>
      <c r="F19" s="15"/>
      <c r="G19" s="15"/>
      <c r="H19" s="15"/>
      <c r="I19" s="15"/>
      <c r="J19" s="15"/>
      <c r="K19" s="15"/>
      <c r="L19" s="15"/>
      <c r="M19" s="15"/>
      <c r="N19" s="15"/>
    </row>
    <row r="20" spans="1:14" x14ac:dyDescent="0.2">
      <c r="A20" s="32" t="s">
        <v>654</v>
      </c>
      <c r="B20" s="7" t="s">
        <v>75</v>
      </c>
      <c r="C20" s="12">
        <f>C14+SunkCost</f>
        <v>-379532.2925294193</v>
      </c>
      <c r="D20" s="12">
        <f t="shared" ref="D20:M20" si="5">D14</f>
        <v>95628.343067070949</v>
      </c>
      <c r="E20" s="12">
        <f t="shared" si="5"/>
        <v>171112.35902366624</v>
      </c>
      <c r="F20" s="12">
        <f t="shared" si="5"/>
        <v>204445.60754029307</v>
      </c>
      <c r="G20" s="12">
        <f t="shared" si="5"/>
        <v>198959.7400037926</v>
      </c>
      <c r="H20" s="12">
        <f t="shared" si="5"/>
        <v>192556.45206719151</v>
      </c>
      <c r="I20" s="12">
        <f t="shared" si="5"/>
        <v>183189.25743300267</v>
      </c>
      <c r="J20" s="12">
        <f t="shared" si="5"/>
        <v>180459.42138892156</v>
      </c>
      <c r="K20" s="12">
        <f t="shared" si="5"/>
        <v>178717.65093388967</v>
      </c>
      <c r="L20" s="12">
        <f t="shared" si="5"/>
        <v>172304.77592203219</v>
      </c>
      <c r="M20" s="12">
        <f t="shared" si="5"/>
        <v>319580.97831441625</v>
      </c>
      <c r="N20" s="12">
        <f>SUM(C20:M20)</f>
        <v>1517422.2931648574</v>
      </c>
    </row>
    <row r="21" spans="1:14" x14ac:dyDescent="0.2">
      <c r="A21" s="15" t="s">
        <v>655</v>
      </c>
      <c r="B21" s="15"/>
      <c r="C21" s="15"/>
      <c r="D21" s="15"/>
      <c r="E21" s="15"/>
      <c r="F21" s="15"/>
      <c r="G21" s="15"/>
      <c r="H21" s="15"/>
      <c r="I21" s="15"/>
      <c r="J21" s="15"/>
      <c r="K21" s="15"/>
      <c r="L21" s="15"/>
      <c r="M21" s="15"/>
      <c r="N21" s="15"/>
    </row>
    <row r="22" spans="1:14" x14ac:dyDescent="0.2">
      <c r="A22" s="9" t="s">
        <v>656</v>
      </c>
      <c r="B22" s="7" t="s">
        <v>75</v>
      </c>
      <c r="C22" s="11">
        <f>Loan</f>
        <v>150000</v>
      </c>
      <c r="D22" s="11">
        <f>0</f>
        <v>0</v>
      </c>
      <c r="E22" s="11">
        <f>0</f>
        <v>0</v>
      </c>
      <c r="F22" s="11">
        <f>0</f>
        <v>0</v>
      </c>
      <c r="G22" s="11">
        <f>0</f>
        <v>0</v>
      </c>
      <c r="H22" s="11">
        <f>0</f>
        <v>0</v>
      </c>
      <c r="I22" s="11">
        <f>0</f>
        <v>0</v>
      </c>
      <c r="J22" s="11">
        <f>0</f>
        <v>0</v>
      </c>
      <c r="K22" s="11">
        <f>0</f>
        <v>0</v>
      </c>
      <c r="L22" s="11">
        <f>0</f>
        <v>0</v>
      </c>
      <c r="M22" s="11">
        <f>0</f>
        <v>0</v>
      </c>
      <c r="N22" s="12">
        <f t="shared" ref="N22:N25" si="6">SUM(C22:M22)</f>
        <v>150000</v>
      </c>
    </row>
    <row r="23" spans="1:14" x14ac:dyDescent="0.2">
      <c r="A23" s="9" t="s">
        <v>621</v>
      </c>
      <c r="B23" s="7" t="s">
        <v>75</v>
      </c>
      <c r="C23" s="11">
        <v>0</v>
      </c>
      <c r="D23" s="11">
        <f>-'التكلفة الاستثمارية والتمويل'!D30</f>
        <v>-26609.460064678446</v>
      </c>
      <c r="E23" s="11">
        <f>-'التكلفة الاستثمارية والتمويل'!E30</f>
        <v>-28206.027668559153</v>
      </c>
      <c r="F23" s="11">
        <f>-'التكلفة الاستثمارية والتمويل'!F30</f>
        <v>-29898.389328672703</v>
      </c>
      <c r="G23" s="11">
        <f>-'التكلفة الاستثمارية والتمويل'!G30</f>
        <v>-31692.292688393063</v>
      </c>
      <c r="H23" s="11">
        <f>-'التكلفة الاستثمارية والتمويل'!H30</f>
        <v>-33593.83024969665</v>
      </c>
      <c r="I23" s="11">
        <f>-'التكلفة الاستثمارية والتمويل'!I30</f>
        <v>0</v>
      </c>
      <c r="J23" s="11">
        <f>-'التكلفة الاستثمارية والتمويل'!J30</f>
        <v>0</v>
      </c>
      <c r="K23" s="11">
        <f>-'التكلفة الاستثمارية والتمويل'!K30</f>
        <v>0</v>
      </c>
      <c r="L23" s="11">
        <f>-'التكلفة الاستثمارية والتمويل'!L30</f>
        <v>0</v>
      </c>
      <c r="M23" s="11">
        <f>-'التكلفة الاستثمارية والتمويل'!M30</f>
        <v>0</v>
      </c>
      <c r="N23" s="12">
        <f t="shared" si="6"/>
        <v>-150000</v>
      </c>
    </row>
    <row r="24" spans="1:14" x14ac:dyDescent="0.2">
      <c r="A24" s="9" t="s">
        <v>632</v>
      </c>
      <c r="B24" s="7" t="s">
        <v>75</v>
      </c>
      <c r="C24" s="11">
        <v>0</v>
      </c>
      <c r="D24" s="11">
        <f>-'التكلفة الاستثمارية والتمويل'!D29</f>
        <v>-9000</v>
      </c>
      <c r="E24" s="11">
        <f>-'التكلفة الاستثمارية والتمويل'!E29</f>
        <v>-7403.4323961192922</v>
      </c>
      <c r="F24" s="11">
        <f>-'التكلفة الاستثمارية والتمويل'!F29</f>
        <v>-5711.0707360057431</v>
      </c>
      <c r="G24" s="11">
        <f>-'التكلفة الاستثمارية والتمويل'!G29</f>
        <v>-3917.1673762853811</v>
      </c>
      <c r="H24" s="11">
        <f>-'التكلفة الاستثمارية والتمويل'!H29</f>
        <v>-2015.6298149817976</v>
      </c>
      <c r="I24" s="11">
        <f>-'التكلفة الاستثمارية والتمويل'!I29</f>
        <v>0</v>
      </c>
      <c r="J24" s="11">
        <f>-'التكلفة الاستثمارية والتمويل'!J29</f>
        <v>0</v>
      </c>
      <c r="K24" s="11">
        <f>-'التكلفة الاستثمارية والتمويل'!K29</f>
        <v>0</v>
      </c>
      <c r="L24" s="11">
        <f>-'التكلفة الاستثمارية والتمويل'!L29</f>
        <v>0</v>
      </c>
      <c r="M24" s="11">
        <f>-'التكلفة الاستثمارية والتمويل'!M29</f>
        <v>0</v>
      </c>
      <c r="N24" s="12">
        <f t="shared" si="6"/>
        <v>-28047.300323392214</v>
      </c>
    </row>
    <row r="25" spans="1:14" x14ac:dyDescent="0.2">
      <c r="A25" s="32" t="s">
        <v>657</v>
      </c>
      <c r="B25" s="7" t="s">
        <v>75</v>
      </c>
      <c r="C25" s="13">
        <f t="shared" ref="C25:M25" si="7">C14+C22+C23+C24</f>
        <v>-429532.2925294193</v>
      </c>
      <c r="D25" s="13">
        <f t="shared" si="7"/>
        <v>60018.883002392511</v>
      </c>
      <c r="E25" s="13">
        <f t="shared" si="7"/>
        <v>135502.89895898779</v>
      </c>
      <c r="F25" s="13">
        <f t="shared" si="7"/>
        <v>168836.14747561462</v>
      </c>
      <c r="G25" s="13">
        <f t="shared" si="7"/>
        <v>163350.27993911415</v>
      </c>
      <c r="H25" s="13">
        <f t="shared" si="7"/>
        <v>156946.99200251306</v>
      </c>
      <c r="I25" s="13">
        <f t="shared" si="7"/>
        <v>183189.25743300267</v>
      </c>
      <c r="J25" s="13">
        <f t="shared" si="7"/>
        <v>180459.42138892156</v>
      </c>
      <c r="K25" s="13">
        <f t="shared" si="7"/>
        <v>178717.65093388967</v>
      </c>
      <c r="L25" s="13">
        <f t="shared" si="7"/>
        <v>172304.77592203219</v>
      </c>
      <c r="M25" s="13">
        <f t="shared" si="7"/>
        <v>319580.97831441625</v>
      </c>
      <c r="N25" s="12">
        <f t="shared" si="6"/>
        <v>1289374.9928414652</v>
      </c>
    </row>
    <row r="26" spans="1:14" x14ac:dyDescent="0.2">
      <c r="A26" s="9" t="s">
        <v>658</v>
      </c>
      <c r="B26" s="7" t="s">
        <v>75</v>
      </c>
      <c r="C26" s="11">
        <f>C25</f>
        <v>-429532.2925294193</v>
      </c>
      <c r="D26" s="11">
        <f t="shared" ref="D26:M26" si="8">C26+D25</f>
        <v>-369513.40952702682</v>
      </c>
      <c r="E26" s="11">
        <f t="shared" si="8"/>
        <v>-234010.51056803903</v>
      </c>
      <c r="F26" s="11">
        <f t="shared" si="8"/>
        <v>-65174.363092424406</v>
      </c>
      <c r="G26" s="11">
        <f t="shared" si="8"/>
        <v>98175.916846689739</v>
      </c>
      <c r="H26" s="11">
        <f t="shared" si="8"/>
        <v>255122.90884920279</v>
      </c>
      <c r="I26" s="11">
        <f t="shared" si="8"/>
        <v>438312.16628220549</v>
      </c>
      <c r="J26" s="11">
        <f t="shared" si="8"/>
        <v>618771.58767112705</v>
      </c>
      <c r="K26" s="11">
        <f t="shared" si="8"/>
        <v>797489.23860501673</v>
      </c>
      <c r="L26" s="11">
        <f t="shared" si="8"/>
        <v>969794.01452704892</v>
      </c>
      <c r="M26" s="11">
        <f t="shared" si="8"/>
        <v>1289374.9928414652</v>
      </c>
      <c r="N26" s="11"/>
    </row>
    <row r="27" spans="1:14" x14ac:dyDescent="0.2">
      <c r="A27" s="9" t="s">
        <v>659</v>
      </c>
      <c r="B27" s="7" t="s">
        <v>335</v>
      </c>
      <c r="C27" s="48"/>
      <c r="D27" s="48">
        <f>IF('التكلفة الاستثمارية والتمويل'!D28&gt;0,('قائمة الدخل'!D10-'قائمة الدخل'!D19)/'التكلفة الاستثمارية والتمويل'!D28,"")</f>
        <v>2.6854757947292249</v>
      </c>
      <c r="E27" s="48">
        <f>IF('التكلفة الاستثمارية والتمويل'!E28&gt;0,('قائمة الدخل'!E10-'قائمة الدخل'!E19)/'التكلفة الاستثمارية والتمويل'!E28,"")</f>
        <v>4.8052500294267366</v>
      </c>
      <c r="F27" s="48">
        <f>IF('التكلفة الاستثمارية والتمويل'!F28&gt;0,('قائمة الدخل'!F10-'قائمة الدخل'!F19)/'التكلفة الاستثمارية والتمويل'!F28,"")</f>
        <v>5.7413284888047409</v>
      </c>
      <c r="G27" s="48">
        <f>IF('التكلفة الاستثمارية والتمويل'!G28&gt;0,('قائمة الدخل'!G10-'قائمة الدخل'!G19)/'التكلفة الاستثمارية والتمويل'!G28,"")</f>
        <v>5.5872720238503062</v>
      </c>
      <c r="H27" s="48">
        <f>IF('التكلفة الاستثمارية والتمويل'!H28&gt;0,('قائمة الدخل'!H10-'قائمة الدخل'!H19)/'التكلفة الاستثمارية والتمويل'!H28,"")</f>
        <v>5.4074521690990514</v>
      </c>
      <c r="I27" s="48" t="str">
        <f>IF('التكلفة الاستثمارية والتمويل'!I28&gt;0,('قائمة الدخل'!I10-'قائمة الدخل'!I19)/'التكلفة الاستثمارية والتمويل'!I28,"")</f>
        <v/>
      </c>
      <c r="J27" s="48" t="str">
        <f>IF('التكلفة الاستثمارية والتمويل'!J28&gt;0,('قائمة الدخل'!J10-'قائمة الدخل'!J19)/'التكلفة الاستثمارية والتمويل'!J28,"")</f>
        <v/>
      </c>
      <c r="K27" s="48" t="str">
        <f>IF('التكلفة الاستثمارية والتمويل'!K28&gt;0,('قائمة الدخل'!K10-'قائمة الدخل'!K19)/'التكلفة الاستثمارية والتمويل'!K28,"")</f>
        <v/>
      </c>
      <c r="L27" s="48" t="str">
        <f>IF('التكلفة الاستثمارية والتمويل'!L28&gt;0,('قائمة الدخل'!L10-'قائمة الدخل'!L19)/'التكلفة الاستثمارية والتمويل'!L28,"")</f>
        <v/>
      </c>
      <c r="M27" s="48" t="str">
        <f>IF('التكلفة الاستثمارية والتمويل'!M28&gt;0,('قائمة الدخل'!M10-'قائمة الدخل'!M19)/'التكلفة الاستثمارية والتمويل'!M28,"")</f>
        <v/>
      </c>
      <c r="N27" s="11"/>
    </row>
  </sheetData>
  <conditionalFormatting sqref="C14:M15">
    <cfRule type="expression" dxfId="7" priority="1" stopIfTrue="1">
      <formula>C14&lt;0</formula>
    </cfRule>
  </conditionalFormatting>
  <conditionalFormatting sqref="C25:M26">
    <cfRule type="expression" dxfId="6" priority="2" stopIfTrue="1">
      <formula>C25&lt;0</formula>
    </cfRule>
  </conditionalFormatting>
  <pageMargins left="0.3888888888888889" right="0.3888888888888889" top="0.5" bottom="0.5" header="0.3" footer="0.3"/>
  <pageSetup paperSize="9" scale="62" fitToHeight="0" orientation="landscape" verticalDpi="0" r:id="rId1"/>
  <headerFooter>
    <oddFooter>&amp;C&amp;P /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B3044-56FF-425F-92E7-BD311D0194CD}">
  <sheetPr>
    <tabColor rgb="FF002060"/>
    <pageSetUpPr fitToPage="1"/>
  </sheetPr>
  <dimension ref="A1:D31"/>
  <sheetViews>
    <sheetView showGridLines="0" rightToLeft="1" zoomScale="90" zoomScaleNormal="90" workbookViewId="0"/>
  </sheetViews>
  <sheetFormatPr defaultRowHeight="12.75" x14ac:dyDescent="0.2"/>
  <cols>
    <col min="1" max="1" width="52.7109375" style="1" customWidth="1"/>
    <col min="2" max="2" width="20.7109375" style="1" customWidth="1"/>
    <col min="3" max="3" width="16.7109375" style="1" customWidth="1"/>
    <col min="4" max="4" width="78.7109375" style="1" customWidth="1"/>
    <col min="5" max="16384" width="9.140625" style="1"/>
  </cols>
  <sheetData>
    <row r="1" spans="1:4" ht="20.25" x14ac:dyDescent="0.2">
      <c r="A1" s="3" t="s">
        <v>660</v>
      </c>
    </row>
    <row r="2" spans="1:4" x14ac:dyDescent="0.2">
      <c r="A2" s="5" t="s">
        <v>661</v>
      </c>
    </row>
    <row r="4" spans="1:4" x14ac:dyDescent="0.2">
      <c r="A4" s="6" t="s">
        <v>55</v>
      </c>
      <c r="B4" s="6" t="s">
        <v>56</v>
      </c>
      <c r="C4" s="6" t="s">
        <v>57</v>
      </c>
      <c r="D4" s="6" t="s">
        <v>662</v>
      </c>
    </row>
    <row r="5" spans="1:4" x14ac:dyDescent="0.2">
      <c r="A5" s="15" t="s">
        <v>663</v>
      </c>
      <c r="B5" s="15"/>
      <c r="C5" s="15"/>
      <c r="D5" s="15"/>
    </row>
    <row r="6" spans="1:4" x14ac:dyDescent="0.2">
      <c r="A6" s="9" t="s">
        <v>88</v>
      </c>
      <c r="B6" s="13">
        <f>'التدفقات النقدية'!C14+NPV(DiscRate,'التدفقات النقدية'!D14:M14)</f>
        <v>435136.91040875483</v>
      </c>
      <c r="C6" s="7" t="s">
        <v>75</v>
      </c>
      <c r="D6" s="16" t="s">
        <v>664</v>
      </c>
    </row>
    <row r="7" spans="1:4" x14ac:dyDescent="0.2">
      <c r="A7" s="9" t="s">
        <v>90</v>
      </c>
      <c r="B7" s="19">
        <f>IFERROR(IRR('التدفقات النقدية'!C14:M14),"غير محدد")</f>
        <v>0.26454717403704664</v>
      </c>
      <c r="C7" s="7" t="s">
        <v>72</v>
      </c>
      <c r="D7" s="16" t="s">
        <v>665</v>
      </c>
    </row>
    <row r="8" spans="1:4" x14ac:dyDescent="0.2">
      <c r="A8" s="9" t="s">
        <v>94</v>
      </c>
      <c r="B8" s="20">
        <f>IFERROR(IF('التدفقات النقدية'!M15&lt;0,"لا يُسترد خلال مدة الدراسة",COUNTIF('التدفقات النقدية'!C15:M15,"&lt;0")-1+(-INDEX('التدفقات النقدية'!C15:M15,COUNTIF('التدفقات النقدية'!C15:M15,"&lt;0")))/INDEX('التدفقات النقدية'!C14:M14,COUNTIF('التدفقات النقدية'!C15:M15,"&lt;0")+1)),"غير محدد")</f>
        <v>3.5445623466150677</v>
      </c>
      <c r="C8" s="7" t="s">
        <v>95</v>
      </c>
      <c r="D8" s="16" t="s">
        <v>666</v>
      </c>
    </row>
    <row r="9" spans="1:4" x14ac:dyDescent="0.2">
      <c r="A9" s="9" t="s">
        <v>667</v>
      </c>
      <c r="B9" s="49">
        <f>IFERROR(IF('التدفقات النقدية'!M18&lt;0,"لا يُسترد خلال مدة الدراسة",COUNTIF('التدفقات النقدية'!C18:M18,"&lt;0")-1+(-INDEX('التدفقات النقدية'!C18:M18,COUNTIF('التدفقات النقدية'!C18:M18,"&lt;0")))/INDEX('التدفقات النقدية'!C17:M17,COUNTIF('التدفقات النقدية'!C18:M18,"&lt;0")+1)),"غير محدد")</f>
        <v>4.7850624678644982</v>
      </c>
      <c r="C9" s="7" t="s">
        <v>95</v>
      </c>
      <c r="D9" s="16" t="s">
        <v>668</v>
      </c>
    </row>
    <row r="10" spans="1:4" x14ac:dyDescent="0.2">
      <c r="A10" s="9" t="s">
        <v>669</v>
      </c>
      <c r="B10" s="48">
        <f>IF('التدفقات النقدية'!C14&lt;0,(B6-'التدفقات النقدية'!C14)/(-'التدفقات النقدية'!C14),0)</f>
        <v>1.7508415251712062</v>
      </c>
      <c r="C10" s="7" t="s">
        <v>335</v>
      </c>
      <c r="D10" s="16" t="s">
        <v>670</v>
      </c>
    </row>
    <row r="11" spans="1:4" x14ac:dyDescent="0.2">
      <c r="A11" s="15" t="s">
        <v>671</v>
      </c>
      <c r="B11" s="15"/>
      <c r="C11" s="15"/>
      <c r="D11" s="15"/>
    </row>
    <row r="12" spans="1:4" x14ac:dyDescent="0.2">
      <c r="A12" s="9" t="s">
        <v>672</v>
      </c>
      <c r="B12" s="11">
        <f>'التدفقات النقدية'!C20+NPV(DiscRate,'التدفقات النقدية'!D20:M20)</f>
        <v>635136.91040875483</v>
      </c>
      <c r="C12" s="7" t="s">
        <v>75</v>
      </c>
      <c r="D12" s="16" t="s">
        <v>673</v>
      </c>
    </row>
    <row r="13" spans="1:4" x14ac:dyDescent="0.2">
      <c r="A13" s="9" t="s">
        <v>674</v>
      </c>
      <c r="B13" s="17">
        <f>IFERROR(IRR('التدفقات النقدية'!C20:M20),"غير محدد")</f>
        <v>0.41139050779826225</v>
      </c>
      <c r="C13" s="7" t="s">
        <v>72</v>
      </c>
      <c r="D13" s="16"/>
    </row>
    <row r="14" spans="1:4" x14ac:dyDescent="0.2">
      <c r="A14" s="15" t="s">
        <v>675</v>
      </c>
      <c r="B14" s="15"/>
      <c r="C14" s="15"/>
      <c r="D14" s="15"/>
    </row>
    <row r="15" spans="1:4" x14ac:dyDescent="0.2">
      <c r="A15" s="9" t="s">
        <v>676</v>
      </c>
      <c r="B15" s="17">
        <f>IFERROR(IRR('التدفقات النقدية'!C25:M25),"غير محدد")</f>
        <v>0.30082550347675108</v>
      </c>
      <c r="C15" s="7" t="s">
        <v>72</v>
      </c>
      <c r="D15" s="16" t="s">
        <v>677</v>
      </c>
    </row>
    <row r="16" spans="1:4" x14ac:dyDescent="0.2">
      <c r="A16" s="9" t="s">
        <v>678</v>
      </c>
      <c r="B16" s="48">
        <f>IF(Loan&gt;0,MIN('التدفقات النقدية'!D27:M27),"لا يوجد قرض")</f>
        <v>2.6854757947292249</v>
      </c>
      <c r="C16" s="7" t="s">
        <v>335</v>
      </c>
      <c r="D16" s="16" t="s">
        <v>679</v>
      </c>
    </row>
    <row r="17" spans="1:4" x14ac:dyDescent="0.2">
      <c r="A17" s="9" t="s">
        <v>680</v>
      </c>
      <c r="B17" s="11">
        <f>MIN('التدفقات النقدية'!D26:M26)</f>
        <v>-369513.40952702682</v>
      </c>
      <c r="C17" s="7" t="s">
        <v>75</v>
      </c>
      <c r="D17" s="16"/>
    </row>
    <row r="18" spans="1:4" x14ac:dyDescent="0.2">
      <c r="A18" s="15" t="s">
        <v>681</v>
      </c>
      <c r="B18" s="15"/>
      <c r="C18" s="15"/>
      <c r="D18" s="15"/>
    </row>
    <row r="19" spans="1:4" x14ac:dyDescent="0.2">
      <c r="A19" s="9" t="s">
        <v>682</v>
      </c>
      <c r="B19" s="11">
        <f>AVERAGE('قائمة الدخل'!D20:M20)</f>
        <v>128937.49928414651</v>
      </c>
      <c r="C19" s="7" t="s">
        <v>75</v>
      </c>
      <c r="D19" s="16"/>
    </row>
    <row r="20" spans="1:4" x14ac:dyDescent="0.2">
      <c r="A20" s="9" t="s">
        <v>683</v>
      </c>
      <c r="B20" s="17">
        <f>B19/TotalInv</f>
        <v>0.22248544377292168</v>
      </c>
      <c r="C20" s="7" t="s">
        <v>72</v>
      </c>
      <c r="D20" s="16"/>
    </row>
    <row r="21" spans="1:4" x14ac:dyDescent="0.2">
      <c r="A21" s="9" t="s">
        <v>684</v>
      </c>
      <c r="B21" s="17">
        <f>'قائمة الدخل'!N21</f>
        <v>0.36719523512144409</v>
      </c>
      <c r="C21" s="7" t="s">
        <v>72</v>
      </c>
      <c r="D21" s="16" t="s">
        <v>685</v>
      </c>
    </row>
    <row r="22" spans="1:4" x14ac:dyDescent="0.2">
      <c r="A22" s="9" t="s">
        <v>686</v>
      </c>
      <c r="B22" s="18">
        <f>'التكاليف التشغيلية'!N30</f>
        <v>29.911941466626136</v>
      </c>
      <c r="C22" s="7" t="s">
        <v>156</v>
      </c>
      <c r="D22" s="16"/>
    </row>
    <row r="23" spans="1:4" x14ac:dyDescent="0.2">
      <c r="A23" s="15" t="s">
        <v>687</v>
      </c>
      <c r="B23" s="15"/>
      <c r="C23" s="15"/>
      <c r="D23" s="15"/>
    </row>
    <row r="24" spans="1:4" x14ac:dyDescent="0.2">
      <c r="A24" s="9" t="s">
        <v>568</v>
      </c>
      <c r="B24" s="11">
        <f>الإيرادات!F5</f>
        <v>11900</v>
      </c>
      <c r="C24" s="7" t="s">
        <v>289</v>
      </c>
      <c r="D24" s="16"/>
    </row>
    <row r="25" spans="1:4" x14ac:dyDescent="0.2">
      <c r="A25" s="9" t="s">
        <v>688</v>
      </c>
      <c r="B25" s="11">
        <f>'التكاليف التشغيلية'!F23+'قائمة الدخل'!F11+'قائمة الدخل'!F12+'قائمة الدخل'!F14</f>
        <v>281906.18871800567</v>
      </c>
      <c r="C25" s="7" t="s">
        <v>75</v>
      </c>
      <c r="D25" s="16"/>
    </row>
    <row r="26" spans="1:4" x14ac:dyDescent="0.2">
      <c r="A26" s="9" t="s">
        <v>689</v>
      </c>
      <c r="B26" s="18">
        <f>IF(B24&gt;0,'التكاليف التشغيلية'!F25/B24,0)</f>
        <v>5.4247330212352933</v>
      </c>
      <c r="C26" s="7" t="s">
        <v>156</v>
      </c>
      <c r="D26" s="16"/>
    </row>
    <row r="27" spans="1:4" x14ac:dyDescent="0.2">
      <c r="A27" s="9" t="s">
        <v>690</v>
      </c>
      <c r="B27" s="18">
        <f>الإيرادات!F6*(1-RoyaltyRate-CommunityRate)</f>
        <v>44.432701109677417</v>
      </c>
      <c r="C27" s="7" t="s">
        <v>156</v>
      </c>
      <c r="D27" s="16"/>
    </row>
    <row r="28" spans="1:4" x14ac:dyDescent="0.2">
      <c r="A28" s="9" t="s">
        <v>99</v>
      </c>
      <c r="B28" s="19">
        <f>IF(B24&gt;0,(B25/(B27-B26))/B24,0)</f>
        <v>0.60730145279235459</v>
      </c>
      <c r="C28" s="7" t="s">
        <v>72</v>
      </c>
      <c r="D28" s="16" t="s">
        <v>691</v>
      </c>
    </row>
    <row r="29" spans="1:4" x14ac:dyDescent="0.2">
      <c r="A29" s="9" t="s">
        <v>97</v>
      </c>
      <c r="B29" s="30">
        <f>IF(B24&gt;0,(B25+'التكاليف التشغيلية'!F25)/(B24*(1-RoyaltyRate-CommunityRate)),0)</f>
        <v>30.972690118961705</v>
      </c>
      <c r="C29" s="7" t="s">
        <v>156</v>
      </c>
      <c r="D29" s="16" t="s">
        <v>692</v>
      </c>
    </row>
    <row r="30" spans="1:4" x14ac:dyDescent="0.2">
      <c r="A30" s="9" t="s">
        <v>693</v>
      </c>
      <c r="B30" s="11">
        <f>B28*B24</f>
        <v>7226.8872882290198</v>
      </c>
      <c r="C30" s="7" t="s">
        <v>289</v>
      </c>
      <c r="D30" s="16"/>
    </row>
    <row r="31" spans="1:4" x14ac:dyDescent="0.2">
      <c r="A31" s="9" t="s">
        <v>694</v>
      </c>
      <c r="B31" s="17">
        <f>1-B28</f>
        <v>0.39269854720764541</v>
      </c>
      <c r="C31" s="7" t="s">
        <v>72</v>
      </c>
      <c r="D31" s="16" t="s">
        <v>695</v>
      </c>
    </row>
  </sheetData>
  <pageMargins left="0.3888888888888889" right="0.3888888888888889" top="0.5" bottom="0.5" header="0.3" footer="0.3"/>
  <pageSetup paperSize="9" scale="84" fitToHeight="0" orientation="landscape" verticalDpi="0" r:id="rId1"/>
  <headerFooter>
    <oddFooter>&amp;C&amp;P /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2F7487-6C6F-4015-AD1B-4CFF89C3E226}">
  <sheetPr>
    <tabColor rgb="FF7F6000"/>
    <pageSetUpPr fitToPage="1"/>
  </sheetPr>
  <dimension ref="A1:N53"/>
  <sheetViews>
    <sheetView showGridLines="0" rightToLeft="1" zoomScale="90" zoomScaleNormal="90" workbookViewId="0"/>
  </sheetViews>
  <sheetFormatPr defaultRowHeight="12.75" x14ac:dyDescent="0.2"/>
  <cols>
    <col min="1" max="1" width="30.7109375" style="1" customWidth="1"/>
    <col min="2" max="2" width="22.7109375" style="1" customWidth="1"/>
    <col min="3" max="3" width="18.7109375" style="1" customWidth="1"/>
    <col min="4" max="4" width="22.7109375" style="1" customWidth="1"/>
    <col min="5" max="6" width="3.7109375" style="1" customWidth="1"/>
    <col min="7" max="7" width="20.7109375" style="1" customWidth="1"/>
    <col min="8" max="14" width="13.7109375" style="1" customWidth="1"/>
    <col min="15" max="16384" width="9.140625" style="1"/>
  </cols>
  <sheetData>
    <row r="1" spans="1:14" ht="20.25" x14ac:dyDescent="0.2">
      <c r="A1" s="3" t="s">
        <v>41</v>
      </c>
    </row>
    <row r="2" spans="1:14" x14ac:dyDescent="0.2">
      <c r="A2" s="5" t="s">
        <v>696</v>
      </c>
    </row>
    <row r="4" spans="1:14" x14ac:dyDescent="0.2">
      <c r="A4" s="15" t="s">
        <v>697</v>
      </c>
      <c r="B4" s="15"/>
    </row>
    <row r="5" spans="1:14" x14ac:dyDescent="0.2">
      <c r="A5" s="9" t="s">
        <v>698</v>
      </c>
      <c r="B5" s="38">
        <v>1</v>
      </c>
    </row>
    <row r="6" spans="1:14" x14ac:dyDescent="0.2">
      <c r="A6" s="9" t="s">
        <v>699</v>
      </c>
      <c r="B6" s="38">
        <v>1</v>
      </c>
    </row>
    <row r="7" spans="1:14" x14ac:dyDescent="0.2">
      <c r="A7" s="9" t="s">
        <v>700</v>
      </c>
      <c r="B7" s="38">
        <v>1</v>
      </c>
    </row>
    <row r="8" spans="1:14" x14ac:dyDescent="0.2">
      <c r="A8" s="9" t="s">
        <v>701</v>
      </c>
      <c r="B8" s="38">
        <v>1</v>
      </c>
    </row>
    <row r="9" spans="1:14" x14ac:dyDescent="0.2">
      <c r="A9" s="5" t="s">
        <v>702</v>
      </c>
    </row>
    <row r="11" spans="1:14" x14ac:dyDescent="0.2">
      <c r="A11" s="15" t="s">
        <v>703</v>
      </c>
      <c r="B11" s="15"/>
      <c r="C11" s="15"/>
      <c r="D11" s="15"/>
      <c r="G11" s="15" t="s">
        <v>714</v>
      </c>
      <c r="H11" s="15"/>
      <c r="I11" s="15"/>
      <c r="J11" s="15"/>
      <c r="K11" s="15"/>
      <c r="L11" s="15"/>
      <c r="M11" s="15"/>
      <c r="N11" s="15"/>
    </row>
    <row r="12" spans="1:14" ht="25.5" x14ac:dyDescent="0.2">
      <c r="A12" s="6" t="s">
        <v>704</v>
      </c>
      <c r="B12" s="6" t="s">
        <v>705</v>
      </c>
      <c r="C12" s="6" t="s">
        <v>674</v>
      </c>
      <c r="D12" s="6" t="s">
        <v>706</v>
      </c>
      <c r="G12" s="6" t="s">
        <v>715</v>
      </c>
      <c r="H12" s="6" t="s">
        <v>716</v>
      </c>
      <c r="I12" s="6"/>
      <c r="J12" s="6"/>
      <c r="K12" s="6"/>
      <c r="L12" s="6"/>
      <c r="M12" s="6"/>
      <c r="N12" s="6"/>
    </row>
    <row r="13" spans="1:14" x14ac:dyDescent="0.2">
      <c r="A13" s="7" t="s">
        <v>707</v>
      </c>
      <c r="B13" s="12">
        <f>K_NPV</f>
        <v>435136.91040875483</v>
      </c>
      <c r="C13" s="46">
        <f>K_IRR</f>
        <v>0.26454717403704664</v>
      </c>
      <c r="D13" s="46">
        <f>K_IRRNew</f>
        <v>0.41139050779826225</v>
      </c>
      <c r="G13" s="12">
        <f>K_NPV</f>
        <v>435136.91040875483</v>
      </c>
      <c r="H13" s="50">
        <v>0.7</v>
      </c>
      <c r="I13" s="50">
        <v>0.8</v>
      </c>
      <c r="J13" s="50">
        <v>0.9</v>
      </c>
      <c r="K13" s="50">
        <v>1</v>
      </c>
      <c r="L13" s="50">
        <v>1.1000000000000001</v>
      </c>
      <c r="M13" s="50">
        <v>1.2</v>
      </c>
      <c r="N13" s="50">
        <v>1.3</v>
      </c>
    </row>
    <row r="14" spans="1:14" x14ac:dyDescent="0.2">
      <c r="A14" s="50">
        <v>0.7</v>
      </c>
      <c r="B14" s="11">
        <f t="dataTable" ref="B14:D20" dt2D="0" dtr="0" r1="B5"/>
        <v>-281846.2981841953</v>
      </c>
      <c r="C14" s="17">
        <v>5.2600400048943285E-3</v>
      </c>
      <c r="D14" s="17">
        <v>7.4787373907806654E-2</v>
      </c>
      <c r="G14" s="50">
        <v>0.7</v>
      </c>
      <c r="H14" s="11">
        <f t="dataTable" ref="H14:N20" dt2D="1" dtr="1" r1="B6" r2="B5" ca="1"/>
        <v>-868967.73006860795</v>
      </c>
      <c r="I14" s="11">
        <v>-672984.16583420662</v>
      </c>
      <c r="J14" s="11">
        <v>-477000.60159980517</v>
      </c>
      <c r="K14" s="11">
        <v>-281846.2981841953</v>
      </c>
      <c r="L14" s="11">
        <v>-112617.08104269317</v>
      </c>
      <c r="M14" s="11">
        <v>54338.377301782602</v>
      </c>
      <c r="N14" s="11">
        <v>221008.93430519791</v>
      </c>
    </row>
    <row r="15" spans="1:14" x14ac:dyDescent="0.2">
      <c r="A15" s="50">
        <v>0.8</v>
      </c>
      <c r="B15" s="11">
        <v>-41042.055929756258</v>
      </c>
      <c r="C15" s="17">
        <v>0.1047188261508547</v>
      </c>
      <c r="D15" s="17">
        <v>0.20084901427692947</v>
      </c>
      <c r="G15" s="50">
        <v>0.8</v>
      </c>
      <c r="H15" s="11">
        <v>-672984.16583420639</v>
      </c>
      <c r="I15" s="11">
        <v>-449002.94956631894</v>
      </c>
      <c r="J15" s="11">
        <v>-232512.23087091412</v>
      </c>
      <c r="K15" s="11">
        <v>-41042.055929756258</v>
      </c>
      <c r="L15" s="11">
        <v>149632.94227067987</v>
      </c>
      <c r="M15" s="11">
        <v>339968.92102939647</v>
      </c>
      <c r="N15" s="11">
        <v>530304.89978811354</v>
      </c>
    </row>
    <row r="16" spans="1:14" x14ac:dyDescent="0.2">
      <c r="A16" s="50">
        <v>0.9</v>
      </c>
      <c r="B16" s="11">
        <v>197216.93696035864</v>
      </c>
      <c r="C16" s="17">
        <v>0.18883481911013655</v>
      </c>
      <c r="D16" s="17">
        <v>0.31047951239728233</v>
      </c>
      <c r="G16" s="50">
        <v>0.9</v>
      </c>
      <c r="H16" s="11">
        <v>-477000.60159980494</v>
      </c>
      <c r="I16" s="11">
        <v>-232512.23087091441</v>
      </c>
      <c r="J16" s="11">
        <v>-17196.947621871484</v>
      </c>
      <c r="K16" s="11">
        <v>197216.93696035864</v>
      </c>
      <c r="L16" s="11">
        <v>411344.9130639151</v>
      </c>
      <c r="M16" s="11">
        <v>625472.88916747156</v>
      </c>
      <c r="N16" s="11">
        <v>839600.86527102836</v>
      </c>
    </row>
    <row r="17" spans="1:14" x14ac:dyDescent="0.2">
      <c r="A17" s="50">
        <v>1</v>
      </c>
      <c r="B17" s="11">
        <v>435136.91040875483</v>
      </c>
      <c r="C17" s="17">
        <v>0.26454717403704664</v>
      </c>
      <c r="D17" s="17">
        <v>0.41139050779826225</v>
      </c>
      <c r="G17" s="50">
        <v>1</v>
      </c>
      <c r="H17" s="11">
        <v>-281846.29818419518</v>
      </c>
      <c r="I17" s="11">
        <v>-41042.055929756374</v>
      </c>
      <c r="J17" s="11">
        <v>197216.93696035864</v>
      </c>
      <c r="K17" s="11">
        <v>435136.91040875483</v>
      </c>
      <c r="L17" s="11">
        <v>673056.88385715103</v>
      </c>
      <c r="M17" s="11">
        <v>910976.85730554746</v>
      </c>
      <c r="N17" s="11">
        <v>1148896.8307539434</v>
      </c>
    </row>
    <row r="18" spans="1:14" x14ac:dyDescent="0.2">
      <c r="A18" s="50">
        <v>1.1000000000000001</v>
      </c>
      <c r="B18" s="11">
        <v>673056.88385715079</v>
      </c>
      <c r="C18" s="17">
        <v>0.33507552787463357</v>
      </c>
      <c r="D18" s="17">
        <v>0.50724291837366309</v>
      </c>
      <c r="G18" s="50">
        <v>1.1000000000000001</v>
      </c>
      <c r="H18" s="11">
        <v>-112617.08104269323</v>
      </c>
      <c r="I18" s="11">
        <v>149632.94227067928</v>
      </c>
      <c r="J18" s="11">
        <v>411344.9130639151</v>
      </c>
      <c r="K18" s="11">
        <v>673056.88385715079</v>
      </c>
      <c r="L18" s="11">
        <v>934768.85465038707</v>
      </c>
      <c r="M18" s="11">
        <v>1196480.8254436222</v>
      </c>
      <c r="N18" s="11">
        <v>1458192.7962368585</v>
      </c>
    </row>
    <row r="19" spans="1:14" x14ac:dyDescent="0.2">
      <c r="A19" s="50">
        <v>1.2</v>
      </c>
      <c r="B19" s="11">
        <v>910976.85730554676</v>
      </c>
      <c r="C19" s="17">
        <v>0.40211116300409588</v>
      </c>
      <c r="D19" s="17">
        <v>0.59977403678094365</v>
      </c>
      <c r="G19" s="50">
        <v>1.2</v>
      </c>
      <c r="H19" s="11">
        <v>54338.377301782486</v>
      </c>
      <c r="I19" s="11">
        <v>339968.92102939647</v>
      </c>
      <c r="J19" s="11">
        <v>625472.88916747156</v>
      </c>
      <c r="K19" s="11">
        <v>910976.85730554676</v>
      </c>
      <c r="L19" s="11">
        <v>1196480.8254436222</v>
      </c>
      <c r="M19" s="11">
        <v>1481984.7935816972</v>
      </c>
      <c r="N19" s="11">
        <v>1767488.7617197731</v>
      </c>
    </row>
    <row r="20" spans="1:14" x14ac:dyDescent="0.2">
      <c r="A20" s="50">
        <v>1.3</v>
      </c>
      <c r="B20" s="11">
        <v>1148896.8307539434</v>
      </c>
      <c r="C20" s="17">
        <v>0.46666158672718328</v>
      </c>
      <c r="D20" s="17">
        <v>0.68997540927608814</v>
      </c>
      <c r="G20" s="50">
        <v>1.3</v>
      </c>
      <c r="H20" s="11">
        <v>221008.93430519814</v>
      </c>
      <c r="I20" s="11">
        <v>530304.89978811354</v>
      </c>
      <c r="J20" s="11">
        <v>839600.86527102836</v>
      </c>
      <c r="K20" s="11">
        <v>1148896.8307539434</v>
      </c>
      <c r="L20" s="11">
        <v>1458192.7962368592</v>
      </c>
      <c r="M20" s="11">
        <v>1767488.7617197735</v>
      </c>
      <c r="N20" s="11">
        <v>2076784.7272026881</v>
      </c>
    </row>
    <row r="22" spans="1:14" x14ac:dyDescent="0.2">
      <c r="A22" s="15" t="s">
        <v>708</v>
      </c>
      <c r="B22" s="15"/>
      <c r="C22" s="15"/>
      <c r="D22" s="15"/>
      <c r="G22" s="15" t="s">
        <v>717</v>
      </c>
      <c r="H22" s="15"/>
      <c r="I22" s="15"/>
      <c r="J22" s="15"/>
      <c r="K22" s="15"/>
      <c r="L22" s="15"/>
      <c r="M22" s="15"/>
      <c r="N22" s="15"/>
    </row>
    <row r="23" spans="1:14" ht="25.5" x14ac:dyDescent="0.2">
      <c r="A23" s="6" t="s">
        <v>709</v>
      </c>
      <c r="B23" s="6" t="s">
        <v>705</v>
      </c>
      <c r="C23" s="6" t="s">
        <v>674</v>
      </c>
      <c r="D23" s="6" t="s">
        <v>706</v>
      </c>
      <c r="G23" s="2" t="s">
        <v>718</v>
      </c>
    </row>
    <row r="24" spans="1:14" x14ac:dyDescent="0.2">
      <c r="A24" s="7" t="s">
        <v>707</v>
      </c>
      <c r="B24" s="12">
        <f>K_NPV</f>
        <v>435136.91040875483</v>
      </c>
      <c r="C24" s="46">
        <f>K_IRR</f>
        <v>0.26454717403704664</v>
      </c>
      <c r="D24" s="46">
        <f>K_IRRNew</f>
        <v>0.41139050779826225</v>
      </c>
      <c r="G24" s="2" t="s">
        <v>719</v>
      </c>
    </row>
    <row r="25" spans="1:14" x14ac:dyDescent="0.2">
      <c r="A25" s="50">
        <v>0.7</v>
      </c>
      <c r="B25" s="11">
        <f t="dataTable" ref="B25:D31" dt2D="0" dtr="0" r1="B6" ca="1"/>
        <v>-281846.29818419518</v>
      </c>
      <c r="C25" s="17">
        <v>5.2600400048945506E-3</v>
      </c>
      <c r="D25" s="17">
        <v>7.4787373907806876E-2</v>
      </c>
      <c r="G25" s="2" t="s">
        <v>720</v>
      </c>
    </row>
    <row r="26" spans="1:14" x14ac:dyDescent="0.2">
      <c r="A26" s="50">
        <v>0.8</v>
      </c>
      <c r="B26" s="11">
        <v>-41042.055929756374</v>
      </c>
      <c r="C26" s="17">
        <v>0.1047188261508547</v>
      </c>
      <c r="D26" s="17">
        <v>0.20084901427692947</v>
      </c>
    </row>
    <row r="27" spans="1:14" x14ac:dyDescent="0.2">
      <c r="A27" s="50">
        <v>0.9</v>
      </c>
      <c r="B27" s="11">
        <v>197216.93696035864</v>
      </c>
      <c r="C27" s="17">
        <v>0.18883481911013655</v>
      </c>
      <c r="D27" s="17">
        <v>0.31047951239728233</v>
      </c>
    </row>
    <row r="28" spans="1:14" x14ac:dyDescent="0.2">
      <c r="A28" s="50">
        <v>1</v>
      </c>
      <c r="B28" s="11">
        <v>435136.91040875483</v>
      </c>
      <c r="C28" s="17">
        <v>0.26454717403704664</v>
      </c>
      <c r="D28" s="17">
        <v>0.41139050779826225</v>
      </c>
    </row>
    <row r="29" spans="1:14" x14ac:dyDescent="0.2">
      <c r="A29" s="50">
        <v>1.1000000000000001</v>
      </c>
      <c r="B29" s="11">
        <v>673056.88385715103</v>
      </c>
      <c r="C29" s="17">
        <v>0.33507552787463379</v>
      </c>
      <c r="D29" s="17">
        <v>0.50724291837366287</v>
      </c>
    </row>
    <row r="30" spans="1:14" x14ac:dyDescent="0.2">
      <c r="A30" s="50">
        <v>1.2</v>
      </c>
      <c r="B30" s="11">
        <v>910976.85730554746</v>
      </c>
      <c r="C30" s="17">
        <v>0.40211116300409611</v>
      </c>
      <c r="D30" s="17">
        <v>0.5997740367809441</v>
      </c>
    </row>
    <row r="31" spans="1:14" x14ac:dyDescent="0.2">
      <c r="A31" s="50">
        <v>1.3</v>
      </c>
      <c r="B31" s="11">
        <v>1148896.8307539434</v>
      </c>
      <c r="C31" s="17">
        <v>0.46666158672718328</v>
      </c>
      <c r="D31" s="17">
        <v>0.68997540927608814</v>
      </c>
    </row>
    <row r="33" spans="1:4" x14ac:dyDescent="0.2">
      <c r="A33" s="15" t="s">
        <v>710</v>
      </c>
      <c r="B33" s="15"/>
      <c r="C33" s="15"/>
      <c r="D33" s="15"/>
    </row>
    <row r="34" spans="1:4" ht="25.5" x14ac:dyDescent="0.2">
      <c r="A34" s="6" t="s">
        <v>711</v>
      </c>
      <c r="B34" s="6" t="s">
        <v>705</v>
      </c>
      <c r="C34" s="6" t="s">
        <v>674</v>
      </c>
      <c r="D34" s="6" t="s">
        <v>706</v>
      </c>
    </row>
    <row r="35" spans="1:4" x14ac:dyDescent="0.2">
      <c r="A35" s="7" t="s">
        <v>707</v>
      </c>
      <c r="B35" s="12">
        <f>K_NPV</f>
        <v>435136.91040875483</v>
      </c>
      <c r="C35" s="46">
        <f>K_IRR</f>
        <v>0.26454717403704664</v>
      </c>
      <c r="D35" s="46">
        <f>K_IRRNew</f>
        <v>0.41139050779826225</v>
      </c>
    </row>
    <row r="36" spans="1:4" x14ac:dyDescent="0.2">
      <c r="A36" s="50">
        <v>0.7</v>
      </c>
      <c r="B36" s="11">
        <f t="dataTable" ref="B36:D42" dt2D="0" dtr="0" r1="B7" ca="1"/>
        <v>884644.98092915304</v>
      </c>
      <c r="C36" s="17">
        <v>0.4068232849741964</v>
      </c>
      <c r="D36" s="17">
        <v>0.62021880082324699</v>
      </c>
    </row>
    <row r="37" spans="1:4" x14ac:dyDescent="0.2">
      <c r="A37" s="50">
        <v>0.8</v>
      </c>
      <c r="B37" s="11">
        <v>734808.95742235309</v>
      </c>
      <c r="C37" s="17">
        <v>0.35951671594550016</v>
      </c>
      <c r="D37" s="17">
        <v>0.5490951113729392</v>
      </c>
    </row>
    <row r="38" spans="1:4" x14ac:dyDescent="0.2">
      <c r="A38" s="50">
        <v>0.9</v>
      </c>
      <c r="B38" s="11">
        <v>584972.93391555408</v>
      </c>
      <c r="C38" s="17">
        <v>0.31219345187230729</v>
      </c>
      <c r="D38" s="17">
        <v>0.4796271777116885</v>
      </c>
    </row>
    <row r="39" spans="1:4" x14ac:dyDescent="0.2">
      <c r="A39" s="50">
        <v>1</v>
      </c>
      <c r="B39" s="11">
        <v>435136.91040875483</v>
      </c>
      <c r="C39" s="17">
        <v>0.26454717403704664</v>
      </c>
      <c r="D39" s="17">
        <v>0.41139050779826225</v>
      </c>
    </row>
    <row r="40" spans="1:4" x14ac:dyDescent="0.2">
      <c r="A40" s="50">
        <v>1.1000000000000001</v>
      </c>
      <c r="B40" s="11">
        <v>285300.88690195559</v>
      </c>
      <c r="C40" s="17">
        <v>0.21618042970502604</v>
      </c>
      <c r="D40" s="17">
        <v>0.34386144067907587</v>
      </c>
    </row>
    <row r="41" spans="1:4" x14ac:dyDescent="0.2">
      <c r="A41" s="50">
        <v>1.2</v>
      </c>
      <c r="B41" s="11">
        <v>135421.98353462142</v>
      </c>
      <c r="C41" s="17">
        <v>0.16653699378870468</v>
      </c>
      <c r="D41" s="17">
        <v>0.27630588519923127</v>
      </c>
    </row>
    <row r="42" spans="1:4" x14ac:dyDescent="0.2">
      <c r="A42" s="50">
        <v>1.3</v>
      </c>
      <c r="B42" s="11">
        <v>-14797.079812037526</v>
      </c>
      <c r="C42" s="17">
        <v>0.1147927380330882</v>
      </c>
      <c r="D42" s="17">
        <v>0.20757782315564954</v>
      </c>
    </row>
    <row r="44" spans="1:4" x14ac:dyDescent="0.2">
      <c r="A44" s="15" t="s">
        <v>712</v>
      </c>
      <c r="B44" s="15"/>
      <c r="C44" s="15"/>
      <c r="D44" s="15"/>
    </row>
    <row r="45" spans="1:4" ht="25.5" x14ac:dyDescent="0.2">
      <c r="A45" s="6" t="s">
        <v>713</v>
      </c>
      <c r="B45" s="6" t="s">
        <v>705</v>
      </c>
      <c r="C45" s="6" t="s">
        <v>674</v>
      </c>
      <c r="D45" s="6" t="s">
        <v>706</v>
      </c>
    </row>
    <row r="46" spans="1:4" x14ac:dyDescent="0.2">
      <c r="A46" s="7" t="s">
        <v>707</v>
      </c>
      <c r="B46" s="12">
        <f>K_NPV</f>
        <v>435136.91040875483</v>
      </c>
      <c r="C46" s="46">
        <f>K_IRR</f>
        <v>0.26454717403704664</v>
      </c>
      <c r="D46" s="46">
        <f>K_IRRNew</f>
        <v>0.41139050779826225</v>
      </c>
    </row>
    <row r="47" spans="1:4" x14ac:dyDescent="0.2">
      <c r="A47" s="50">
        <v>0.7</v>
      </c>
      <c r="B47" s="11">
        <f t="dataTable" ref="B47:D53" dt2D="0" dtr="0" r1="B8" ca="1"/>
        <v>519731.58403294458</v>
      </c>
      <c r="C47" s="17">
        <v>0.30895658481286103</v>
      </c>
      <c r="D47" s="17">
        <v>0.50278108175134717</v>
      </c>
    </row>
    <row r="48" spans="1:4" x14ac:dyDescent="0.2">
      <c r="A48" s="50">
        <v>0.8</v>
      </c>
      <c r="B48" s="11">
        <v>491533.35949154804</v>
      </c>
      <c r="C48" s="17">
        <v>0.29317339588130276</v>
      </c>
      <c r="D48" s="17">
        <v>0.46886742137909754</v>
      </c>
    </row>
    <row r="49" spans="1:4" x14ac:dyDescent="0.2">
      <c r="A49" s="50">
        <v>0.9</v>
      </c>
      <c r="B49" s="11">
        <v>463335.13495015143</v>
      </c>
      <c r="C49" s="17">
        <v>0.27840677208960374</v>
      </c>
      <c r="D49" s="17">
        <v>0.43860905582612886</v>
      </c>
    </row>
    <row r="50" spans="1:4" x14ac:dyDescent="0.2">
      <c r="A50" s="50">
        <v>1</v>
      </c>
      <c r="B50" s="11">
        <v>435136.91040875483</v>
      </c>
      <c r="C50" s="17">
        <v>0.26454717403704664</v>
      </c>
      <c r="D50" s="17">
        <v>0.41139050779826225</v>
      </c>
    </row>
    <row r="51" spans="1:4" x14ac:dyDescent="0.2">
      <c r="A51" s="50">
        <v>1.1000000000000001</v>
      </c>
      <c r="B51" s="11">
        <v>406938.68586735846</v>
      </c>
      <c r="C51" s="17">
        <v>0.25150079152734972</v>
      </c>
      <c r="D51" s="17">
        <v>0.38673002890122188</v>
      </c>
    </row>
    <row r="52" spans="1:4" x14ac:dyDescent="0.2">
      <c r="A52" s="50">
        <v>1.2</v>
      </c>
      <c r="B52" s="11">
        <v>378740.46132596186</v>
      </c>
      <c r="C52" s="17">
        <v>0.23918677869445371</v>
      </c>
      <c r="D52" s="17">
        <v>0.36424485977124643</v>
      </c>
    </row>
    <row r="53" spans="1:4" x14ac:dyDescent="0.2">
      <c r="A53" s="50">
        <v>1.3</v>
      </c>
      <c r="B53" s="11">
        <v>350542.2367845655</v>
      </c>
      <c r="C53" s="17">
        <v>0.22753505641651195</v>
      </c>
      <c r="D53" s="17">
        <v>0.34362682699351876</v>
      </c>
    </row>
  </sheetData>
  <conditionalFormatting sqref="B14:B20">
    <cfRule type="expression" dxfId="5" priority="1" stopIfTrue="1">
      <formula>B14&lt;0</formula>
    </cfRule>
  </conditionalFormatting>
  <conditionalFormatting sqref="B25:B31">
    <cfRule type="expression" dxfId="4" priority="2" stopIfTrue="1">
      <formula>B25&lt;0</formula>
    </cfRule>
  </conditionalFormatting>
  <conditionalFormatting sqref="B36:B42">
    <cfRule type="expression" dxfId="3" priority="3" stopIfTrue="1">
      <formula>B36&lt;0</formula>
    </cfRule>
  </conditionalFormatting>
  <conditionalFormatting sqref="B47:B53">
    <cfRule type="expression" dxfId="2" priority="4" stopIfTrue="1">
      <formula>B47&lt;0</formula>
    </cfRule>
  </conditionalFormatting>
  <conditionalFormatting sqref="H14:N20">
    <cfRule type="expression" dxfId="1" priority="5" stopIfTrue="1">
      <formula>H14&lt;0</formula>
    </cfRule>
    <cfRule type="expression" dxfId="0" priority="6" stopIfTrue="1">
      <formula>H14&gt;=0</formula>
    </cfRule>
  </conditionalFormatting>
  <pageMargins left="0.3888888888888889" right="0.3888888888888889" top="0.5" bottom="0.5" header="0.3" footer="0.3"/>
  <pageSetup paperSize="9" scale="64" fitToHeight="0" orientation="landscape" verticalDpi="0" r:id="rId1"/>
  <headerFooter>
    <oddFooter>&amp;C&amp;P /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A3C782-C537-49BC-8CB7-709FBE53ECEB}">
  <sheetPr>
    <tabColor rgb="FF7F6000"/>
    <pageSetUpPr fitToPage="1"/>
  </sheetPr>
  <dimension ref="A1:E21"/>
  <sheetViews>
    <sheetView showGridLines="0" rightToLeft="1" zoomScale="90" zoomScaleNormal="90" workbookViewId="0"/>
  </sheetViews>
  <sheetFormatPr defaultRowHeight="12.75" x14ac:dyDescent="0.2"/>
  <cols>
    <col min="1" max="1" width="6.7109375" style="1" customWidth="1"/>
    <col min="2" max="2" width="34.7109375" style="1" customWidth="1"/>
    <col min="3" max="4" width="14.7109375" style="1" customWidth="1"/>
    <col min="5" max="5" width="90.7109375" style="1" customWidth="1"/>
    <col min="6" max="16384" width="9.140625" style="1"/>
  </cols>
  <sheetData>
    <row r="1" spans="1:5" ht="20.25" x14ac:dyDescent="0.2">
      <c r="A1" s="3" t="s">
        <v>721</v>
      </c>
    </row>
    <row r="2" spans="1:5" x14ac:dyDescent="0.2">
      <c r="A2" s="5" t="s">
        <v>722</v>
      </c>
    </row>
    <row r="4" spans="1:5" x14ac:dyDescent="0.2">
      <c r="A4" s="15" t="s">
        <v>723</v>
      </c>
      <c r="B4" s="15"/>
      <c r="C4" s="15"/>
      <c r="D4" s="15"/>
      <c r="E4" s="15"/>
    </row>
    <row r="5" spans="1:5" x14ac:dyDescent="0.2">
      <c r="A5" s="6" t="s">
        <v>4</v>
      </c>
      <c r="B5" s="6" t="s">
        <v>724</v>
      </c>
      <c r="C5" s="6"/>
      <c r="D5" s="6"/>
      <c r="E5" s="6" t="s">
        <v>445</v>
      </c>
    </row>
    <row r="6" spans="1:5" ht="25.5" x14ac:dyDescent="0.2">
      <c r="A6" s="7">
        <v>1</v>
      </c>
      <c r="B6" s="32" t="s">
        <v>725</v>
      </c>
      <c r="C6" s="9"/>
      <c r="D6" s="9"/>
      <c r="E6" s="9" t="s">
        <v>726</v>
      </c>
    </row>
    <row r="7" spans="1:5" ht="25.5" x14ac:dyDescent="0.2">
      <c r="A7" s="7">
        <v>2</v>
      </c>
      <c r="B7" s="32" t="s">
        <v>727</v>
      </c>
      <c r="C7" s="9"/>
      <c r="D7" s="9"/>
      <c r="E7" s="9" t="s">
        <v>728</v>
      </c>
    </row>
    <row r="8" spans="1:5" ht="25.5" x14ac:dyDescent="0.2">
      <c r="A8" s="7">
        <v>3</v>
      </c>
      <c r="B8" s="32" t="s">
        <v>729</v>
      </c>
      <c r="C8" s="9"/>
      <c r="D8" s="9"/>
      <c r="E8" s="9" t="s">
        <v>730</v>
      </c>
    </row>
    <row r="9" spans="1:5" ht="25.5" x14ac:dyDescent="0.2">
      <c r="A9" s="7">
        <v>4</v>
      </c>
      <c r="B9" s="32" t="s">
        <v>731</v>
      </c>
      <c r="C9" s="9"/>
      <c r="D9" s="9"/>
      <c r="E9" s="9" t="s">
        <v>732</v>
      </c>
    </row>
    <row r="11" spans="1:5" x14ac:dyDescent="0.2">
      <c r="A11" s="15" t="s">
        <v>733</v>
      </c>
      <c r="B11" s="15"/>
      <c r="C11" s="15"/>
      <c r="D11" s="15"/>
      <c r="E11" s="15"/>
    </row>
    <row r="12" spans="1:5" x14ac:dyDescent="0.2">
      <c r="A12" s="6" t="s">
        <v>4</v>
      </c>
      <c r="B12" s="6" t="s">
        <v>734</v>
      </c>
      <c r="C12" s="6" t="s">
        <v>735</v>
      </c>
      <c r="D12" s="6" t="s">
        <v>736</v>
      </c>
      <c r="E12" s="6" t="s">
        <v>737</v>
      </c>
    </row>
    <row r="13" spans="1:5" x14ac:dyDescent="0.2">
      <c r="A13" s="7">
        <v>1</v>
      </c>
      <c r="B13" s="9" t="s">
        <v>738</v>
      </c>
      <c r="C13" s="7" t="s">
        <v>739</v>
      </c>
      <c r="D13" s="7" t="s">
        <v>740</v>
      </c>
      <c r="E13" s="9" t="s">
        <v>741</v>
      </c>
    </row>
    <row r="14" spans="1:5" ht="25.5" x14ac:dyDescent="0.2">
      <c r="A14" s="7">
        <v>2</v>
      </c>
      <c r="B14" s="9" t="s">
        <v>742</v>
      </c>
      <c r="C14" s="7" t="s">
        <v>743</v>
      </c>
      <c r="D14" s="7" t="s">
        <v>743</v>
      </c>
      <c r="E14" s="9" t="s">
        <v>744</v>
      </c>
    </row>
    <row r="15" spans="1:5" x14ac:dyDescent="0.2">
      <c r="A15" s="7">
        <v>3</v>
      </c>
      <c r="B15" s="9" t="s">
        <v>745</v>
      </c>
      <c r="C15" s="7" t="s">
        <v>739</v>
      </c>
      <c r="D15" s="7" t="s">
        <v>743</v>
      </c>
      <c r="E15" s="9" t="s">
        <v>746</v>
      </c>
    </row>
    <row r="16" spans="1:5" x14ac:dyDescent="0.2">
      <c r="A16" s="7">
        <v>4</v>
      </c>
      <c r="B16" s="9" t="s">
        <v>747</v>
      </c>
      <c r="C16" s="7" t="s">
        <v>739</v>
      </c>
      <c r="D16" s="7" t="s">
        <v>743</v>
      </c>
      <c r="E16" s="9" t="s">
        <v>748</v>
      </c>
    </row>
    <row r="17" spans="1:5" x14ac:dyDescent="0.2">
      <c r="A17" s="7">
        <v>5</v>
      </c>
      <c r="B17" s="9" t="s">
        <v>749</v>
      </c>
      <c r="C17" s="7" t="s">
        <v>743</v>
      </c>
      <c r="D17" s="7" t="s">
        <v>739</v>
      </c>
      <c r="E17" s="9" t="s">
        <v>750</v>
      </c>
    </row>
    <row r="18" spans="1:5" x14ac:dyDescent="0.2">
      <c r="A18" s="7">
        <v>6</v>
      </c>
      <c r="B18" s="9" t="s">
        <v>751</v>
      </c>
      <c r="C18" s="7" t="s">
        <v>739</v>
      </c>
      <c r="D18" s="7" t="s">
        <v>739</v>
      </c>
      <c r="E18" s="9" t="s">
        <v>752</v>
      </c>
    </row>
    <row r="19" spans="1:5" x14ac:dyDescent="0.2">
      <c r="A19" s="7">
        <v>7</v>
      </c>
      <c r="B19" s="9" t="s">
        <v>753</v>
      </c>
      <c r="C19" s="7" t="s">
        <v>754</v>
      </c>
      <c r="D19" s="7" t="s">
        <v>743</v>
      </c>
      <c r="E19" s="9" t="s">
        <v>755</v>
      </c>
    </row>
    <row r="20" spans="1:5" x14ac:dyDescent="0.2">
      <c r="A20" s="7">
        <v>8</v>
      </c>
      <c r="B20" s="9" t="s">
        <v>756</v>
      </c>
      <c r="C20" s="7" t="s">
        <v>754</v>
      </c>
      <c r="D20" s="7" t="s">
        <v>739</v>
      </c>
      <c r="E20" s="9" t="s">
        <v>757</v>
      </c>
    </row>
    <row r="21" spans="1:5" x14ac:dyDescent="0.2">
      <c r="A21" s="7">
        <v>9</v>
      </c>
      <c r="B21" s="9" t="s">
        <v>758</v>
      </c>
      <c r="C21" s="7" t="s">
        <v>739</v>
      </c>
      <c r="D21" s="7" t="s">
        <v>739</v>
      </c>
      <c r="E21" s="9" t="s">
        <v>759</v>
      </c>
    </row>
  </sheetData>
  <pageMargins left="0.3888888888888889" right="0.3888888888888889" top="0.5" bottom="0.5" header="0.3" footer="0.3"/>
  <pageSetup paperSize="9" scale="87" fitToHeight="0" orientation="landscape" verticalDpi="0" r:id="rId1"/>
  <headerFooter>
    <oddFooter>&amp;C&amp;P /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F3FA6-D526-44F0-9C18-FB4FD3CE27D8}">
  <sheetPr>
    <tabColor rgb="FF595959"/>
    <pageSetUpPr fitToPage="1"/>
  </sheetPr>
  <dimension ref="A1:E47"/>
  <sheetViews>
    <sheetView showGridLines="0" rightToLeft="1" zoomScale="90" zoomScaleNormal="90" workbookViewId="0"/>
  </sheetViews>
  <sheetFormatPr defaultRowHeight="12.75" x14ac:dyDescent="0.2"/>
  <cols>
    <col min="1" max="1" width="6.7109375" style="1" customWidth="1"/>
    <col min="2" max="2" width="44.7109375" style="1" customWidth="1"/>
    <col min="3" max="4" width="30.7109375" style="1" customWidth="1"/>
    <col min="5" max="5" width="70.7109375" style="1" customWidth="1"/>
    <col min="6" max="16384" width="9.140625" style="1"/>
  </cols>
  <sheetData>
    <row r="1" spans="1:5" ht="20.25" x14ac:dyDescent="0.2">
      <c r="A1" s="3" t="s">
        <v>760</v>
      </c>
    </row>
    <row r="2" spans="1:5" x14ac:dyDescent="0.2">
      <c r="A2" s="5" t="s">
        <v>761</v>
      </c>
    </row>
    <row r="4" spans="1:5" x14ac:dyDescent="0.2">
      <c r="A4" s="15" t="s">
        <v>762</v>
      </c>
      <c r="B4" s="15"/>
      <c r="C4" s="15"/>
      <c r="D4" s="15"/>
      <c r="E4" s="15"/>
    </row>
    <row r="5" spans="1:5" x14ac:dyDescent="0.2">
      <c r="A5" s="6" t="s">
        <v>4</v>
      </c>
      <c r="B5" s="6" t="s">
        <v>107</v>
      </c>
      <c r="C5" s="6" t="s">
        <v>763</v>
      </c>
      <c r="D5" s="6" t="s">
        <v>764</v>
      </c>
      <c r="E5" s="6" t="s">
        <v>765</v>
      </c>
    </row>
    <row r="6" spans="1:5" ht="25.5" x14ac:dyDescent="0.2">
      <c r="A6" s="7">
        <v>1</v>
      </c>
      <c r="B6" s="9" t="s">
        <v>766</v>
      </c>
      <c r="C6" s="9" t="s">
        <v>767</v>
      </c>
      <c r="D6" s="9" t="s">
        <v>768</v>
      </c>
      <c r="E6" s="9" t="s">
        <v>769</v>
      </c>
    </row>
    <row r="7" spans="1:5" ht="25.5" x14ac:dyDescent="0.2">
      <c r="A7" s="7">
        <v>2</v>
      </c>
      <c r="B7" s="9" t="s">
        <v>21</v>
      </c>
      <c r="C7" s="9" t="s">
        <v>770</v>
      </c>
      <c r="D7" s="9" t="s">
        <v>771</v>
      </c>
      <c r="E7" s="9" t="s">
        <v>772</v>
      </c>
    </row>
    <row r="8" spans="1:5" x14ac:dyDescent="0.2">
      <c r="A8" s="7">
        <v>3</v>
      </c>
      <c r="B8" s="9" t="s">
        <v>773</v>
      </c>
      <c r="C8" s="9" t="s">
        <v>774</v>
      </c>
      <c r="D8" s="9" t="s">
        <v>775</v>
      </c>
      <c r="E8" s="9" t="s">
        <v>776</v>
      </c>
    </row>
    <row r="9" spans="1:5" ht="25.5" x14ac:dyDescent="0.2">
      <c r="A9" s="7">
        <v>4</v>
      </c>
      <c r="B9" s="9" t="s">
        <v>777</v>
      </c>
      <c r="C9" s="9" t="s">
        <v>778</v>
      </c>
      <c r="D9" s="9" t="s">
        <v>779</v>
      </c>
      <c r="E9" s="9" t="s">
        <v>780</v>
      </c>
    </row>
    <row r="10" spans="1:5" x14ac:dyDescent="0.2">
      <c r="A10" s="7">
        <v>5</v>
      </c>
      <c r="B10" s="9" t="s">
        <v>602</v>
      </c>
      <c r="C10" s="9" t="s">
        <v>781</v>
      </c>
      <c r="D10" s="9" t="s">
        <v>782</v>
      </c>
      <c r="E10" s="9" t="s">
        <v>783</v>
      </c>
    </row>
    <row r="11" spans="1:5" x14ac:dyDescent="0.2">
      <c r="A11" s="7">
        <v>6</v>
      </c>
      <c r="B11" s="9" t="s">
        <v>784</v>
      </c>
      <c r="C11" s="9" t="s">
        <v>785</v>
      </c>
      <c r="D11" s="9" t="s">
        <v>786</v>
      </c>
      <c r="E11" s="9" t="s">
        <v>787</v>
      </c>
    </row>
    <row r="12" spans="1:5" x14ac:dyDescent="0.2">
      <c r="A12" s="7">
        <v>7</v>
      </c>
      <c r="B12" s="9" t="s">
        <v>788</v>
      </c>
      <c r="C12" s="9" t="s">
        <v>789</v>
      </c>
      <c r="D12" s="9" t="s">
        <v>790</v>
      </c>
      <c r="E12" s="9" t="s">
        <v>791</v>
      </c>
    </row>
    <row r="13" spans="1:5" x14ac:dyDescent="0.2">
      <c r="A13" s="7">
        <v>8</v>
      </c>
      <c r="B13" s="9" t="s">
        <v>792</v>
      </c>
      <c r="C13" s="9" t="s">
        <v>793</v>
      </c>
      <c r="D13" s="9" t="s">
        <v>794</v>
      </c>
      <c r="E13" s="9" t="s">
        <v>795</v>
      </c>
    </row>
    <row r="14" spans="1:5" x14ac:dyDescent="0.2">
      <c r="A14" s="7">
        <v>9</v>
      </c>
      <c r="B14" s="9" t="s">
        <v>796</v>
      </c>
      <c r="C14" s="9" t="s">
        <v>797</v>
      </c>
      <c r="D14" s="9" t="s">
        <v>798</v>
      </c>
      <c r="E14" s="9" t="s">
        <v>799</v>
      </c>
    </row>
    <row r="15" spans="1:5" x14ac:dyDescent="0.2">
      <c r="A15" s="7">
        <v>10</v>
      </c>
      <c r="B15" s="9" t="s">
        <v>800</v>
      </c>
      <c r="C15" s="9" t="s">
        <v>801</v>
      </c>
      <c r="D15" s="9" t="s">
        <v>802</v>
      </c>
      <c r="E15" s="9" t="s">
        <v>803</v>
      </c>
    </row>
    <row r="16" spans="1:5" ht="25.5" x14ac:dyDescent="0.2">
      <c r="A16" s="7">
        <v>11</v>
      </c>
      <c r="B16" s="9" t="s">
        <v>804</v>
      </c>
      <c r="C16" s="9" t="s">
        <v>805</v>
      </c>
      <c r="D16" s="9" t="s">
        <v>806</v>
      </c>
      <c r="E16" s="9" t="s">
        <v>807</v>
      </c>
    </row>
    <row r="17" spans="1:5" x14ac:dyDescent="0.2">
      <c r="A17" s="7">
        <v>12</v>
      </c>
      <c r="B17" s="9" t="s">
        <v>808</v>
      </c>
      <c r="C17" s="9" t="s">
        <v>809</v>
      </c>
      <c r="D17" s="9" t="s">
        <v>810</v>
      </c>
      <c r="E17" s="9" t="s">
        <v>811</v>
      </c>
    </row>
    <row r="18" spans="1:5" x14ac:dyDescent="0.2">
      <c r="A18" s="7">
        <v>13</v>
      </c>
      <c r="B18" s="9" t="s">
        <v>812</v>
      </c>
      <c r="C18" s="9" t="s">
        <v>781</v>
      </c>
      <c r="D18" s="9" t="s">
        <v>813</v>
      </c>
      <c r="E18" s="9" t="s">
        <v>814</v>
      </c>
    </row>
    <row r="19" spans="1:5" x14ac:dyDescent="0.2">
      <c r="A19" s="7">
        <v>14</v>
      </c>
      <c r="B19" s="9" t="s">
        <v>27</v>
      </c>
      <c r="C19" s="9" t="s">
        <v>815</v>
      </c>
      <c r="D19" s="9" t="s">
        <v>816</v>
      </c>
      <c r="E19" s="9" t="s">
        <v>817</v>
      </c>
    </row>
    <row r="20" spans="1:5" x14ac:dyDescent="0.2">
      <c r="A20" s="7">
        <v>15</v>
      </c>
      <c r="B20" s="9" t="s">
        <v>818</v>
      </c>
      <c r="C20" s="9" t="s">
        <v>789</v>
      </c>
      <c r="D20" s="9" t="s">
        <v>819</v>
      </c>
      <c r="E20" s="9" t="s">
        <v>820</v>
      </c>
    </row>
    <row r="21" spans="1:5" x14ac:dyDescent="0.2">
      <c r="A21" s="7">
        <v>16</v>
      </c>
      <c r="B21" s="9" t="s">
        <v>821</v>
      </c>
      <c r="C21" s="9" t="s">
        <v>822</v>
      </c>
      <c r="D21" s="9" t="s">
        <v>823</v>
      </c>
      <c r="E21" s="9" t="s">
        <v>824</v>
      </c>
    </row>
    <row r="22" spans="1:5" ht="25.5" x14ac:dyDescent="0.2">
      <c r="A22" s="7">
        <v>17</v>
      </c>
      <c r="B22" s="9" t="s">
        <v>17</v>
      </c>
      <c r="C22" s="9" t="s">
        <v>825</v>
      </c>
      <c r="D22" s="9" t="s">
        <v>826</v>
      </c>
      <c r="E22" s="9" t="s">
        <v>827</v>
      </c>
    </row>
    <row r="23" spans="1:5" ht="25.5" x14ac:dyDescent="0.2">
      <c r="A23" s="7">
        <v>18</v>
      </c>
      <c r="B23" s="9" t="s">
        <v>828</v>
      </c>
      <c r="C23" s="9" t="s">
        <v>829</v>
      </c>
      <c r="D23" s="9" t="s">
        <v>830</v>
      </c>
      <c r="E23" s="9"/>
    </row>
    <row r="25" spans="1:5" x14ac:dyDescent="0.2">
      <c r="A25" s="15" t="s">
        <v>831</v>
      </c>
      <c r="B25" s="15"/>
      <c r="C25" s="15"/>
      <c r="D25" s="15"/>
      <c r="E25" s="15"/>
    </row>
    <row r="26" spans="1:5" x14ac:dyDescent="0.2">
      <c r="A26" s="6" t="s">
        <v>4</v>
      </c>
      <c r="B26" s="6" t="s">
        <v>107</v>
      </c>
      <c r="C26" s="6" t="s">
        <v>832</v>
      </c>
      <c r="D26" s="6" t="s">
        <v>833</v>
      </c>
      <c r="E26" s="6" t="s">
        <v>58</v>
      </c>
    </row>
    <row r="27" spans="1:5" x14ac:dyDescent="0.2">
      <c r="A27" s="7">
        <v>1</v>
      </c>
      <c r="B27" s="9" t="s">
        <v>834</v>
      </c>
      <c r="C27" s="9" t="s">
        <v>835</v>
      </c>
      <c r="D27" s="9" t="s">
        <v>836</v>
      </c>
      <c r="E27" s="9" t="s">
        <v>837</v>
      </c>
    </row>
    <row r="28" spans="1:5" x14ac:dyDescent="0.2">
      <c r="A28" s="7">
        <v>2</v>
      </c>
      <c r="B28" s="9" t="s">
        <v>838</v>
      </c>
      <c r="C28" s="9" t="s">
        <v>839</v>
      </c>
      <c r="D28" s="9" t="s">
        <v>840</v>
      </c>
      <c r="E28" s="9" t="s">
        <v>841</v>
      </c>
    </row>
    <row r="29" spans="1:5" ht="25.5" x14ac:dyDescent="0.2">
      <c r="A29" s="7">
        <v>3</v>
      </c>
      <c r="B29" s="9" t="s">
        <v>842</v>
      </c>
      <c r="C29" s="9" t="s">
        <v>843</v>
      </c>
      <c r="D29" s="9" t="s">
        <v>844</v>
      </c>
      <c r="E29" s="9" t="s">
        <v>845</v>
      </c>
    </row>
    <row r="30" spans="1:5" x14ac:dyDescent="0.2">
      <c r="A30" s="7">
        <v>4</v>
      </c>
      <c r="B30" s="9" t="s">
        <v>846</v>
      </c>
      <c r="C30" s="9" t="s">
        <v>847</v>
      </c>
      <c r="D30" s="9" t="s">
        <v>244</v>
      </c>
      <c r="E30" s="9" t="s">
        <v>848</v>
      </c>
    </row>
    <row r="31" spans="1:5" x14ac:dyDescent="0.2">
      <c r="A31" s="7">
        <v>5</v>
      </c>
      <c r="B31" s="9" t="s">
        <v>849</v>
      </c>
      <c r="C31" s="9" t="s">
        <v>850</v>
      </c>
      <c r="D31" s="9" t="s">
        <v>851</v>
      </c>
      <c r="E31" s="9" t="s">
        <v>852</v>
      </c>
    </row>
    <row r="32" spans="1:5" x14ac:dyDescent="0.2">
      <c r="A32" s="7">
        <v>6</v>
      </c>
      <c r="B32" s="9" t="s">
        <v>800</v>
      </c>
      <c r="C32" s="9" t="s">
        <v>853</v>
      </c>
      <c r="D32" s="9" t="s">
        <v>854</v>
      </c>
      <c r="E32" s="9"/>
    </row>
    <row r="33" spans="1:5" x14ac:dyDescent="0.2">
      <c r="A33" s="7">
        <v>7</v>
      </c>
      <c r="B33" s="9" t="s">
        <v>773</v>
      </c>
      <c r="C33" s="9" t="s">
        <v>855</v>
      </c>
      <c r="D33" s="9" t="s">
        <v>856</v>
      </c>
      <c r="E33" s="9" t="s">
        <v>857</v>
      </c>
    </row>
    <row r="34" spans="1:5" x14ac:dyDescent="0.2">
      <c r="A34" s="7">
        <v>8</v>
      </c>
      <c r="B34" s="9" t="s">
        <v>858</v>
      </c>
      <c r="C34" s="9" t="s">
        <v>859</v>
      </c>
      <c r="D34" s="9" t="s">
        <v>395</v>
      </c>
      <c r="E34" s="9"/>
    </row>
    <row r="35" spans="1:5" x14ac:dyDescent="0.2">
      <c r="A35" s="7">
        <v>9</v>
      </c>
      <c r="B35" s="9" t="s">
        <v>860</v>
      </c>
      <c r="C35" s="9" t="s">
        <v>861</v>
      </c>
      <c r="D35" s="9" t="s">
        <v>862</v>
      </c>
      <c r="E35" s="9" t="s">
        <v>863</v>
      </c>
    </row>
    <row r="36" spans="1:5" x14ac:dyDescent="0.2">
      <c r="A36" s="7">
        <v>10</v>
      </c>
      <c r="B36" s="9" t="s">
        <v>864</v>
      </c>
      <c r="C36" s="9" t="s">
        <v>865</v>
      </c>
      <c r="D36" s="9" t="s">
        <v>866</v>
      </c>
      <c r="E36" s="9" t="s">
        <v>867</v>
      </c>
    </row>
    <row r="38" spans="1:5" x14ac:dyDescent="0.2">
      <c r="A38" s="15" t="s">
        <v>868</v>
      </c>
      <c r="B38" s="15"/>
      <c r="C38" s="15"/>
      <c r="D38" s="15"/>
      <c r="E38" s="15"/>
    </row>
    <row r="39" spans="1:5" x14ac:dyDescent="0.2">
      <c r="A39" s="6" t="s">
        <v>4</v>
      </c>
      <c r="B39" s="6" t="s">
        <v>260</v>
      </c>
      <c r="C39" s="6" t="s">
        <v>869</v>
      </c>
      <c r="D39" s="6"/>
      <c r="E39" s="6" t="s">
        <v>870</v>
      </c>
    </row>
    <row r="40" spans="1:5" x14ac:dyDescent="0.2">
      <c r="A40" s="7">
        <v>1</v>
      </c>
      <c r="B40" s="9" t="s">
        <v>871</v>
      </c>
      <c r="C40" s="9" t="s">
        <v>872</v>
      </c>
      <c r="D40" s="9"/>
      <c r="E40" s="9" t="s">
        <v>873</v>
      </c>
    </row>
    <row r="41" spans="1:5" ht="25.5" x14ac:dyDescent="0.2">
      <c r="A41" s="7">
        <v>2</v>
      </c>
      <c r="B41" s="9" t="s">
        <v>874</v>
      </c>
      <c r="C41" s="9" t="s">
        <v>875</v>
      </c>
      <c r="D41" s="9"/>
      <c r="E41" s="9" t="s">
        <v>876</v>
      </c>
    </row>
    <row r="42" spans="1:5" ht="25.5" x14ac:dyDescent="0.2">
      <c r="A42" s="7">
        <v>3</v>
      </c>
      <c r="B42" s="9" t="s">
        <v>877</v>
      </c>
      <c r="C42" s="9" t="s">
        <v>878</v>
      </c>
      <c r="D42" s="9"/>
      <c r="E42" s="9" t="s">
        <v>879</v>
      </c>
    </row>
    <row r="43" spans="1:5" ht="25.5" x14ac:dyDescent="0.2">
      <c r="A43" s="7">
        <v>4</v>
      </c>
      <c r="B43" s="9" t="s">
        <v>880</v>
      </c>
      <c r="C43" s="9" t="s">
        <v>881</v>
      </c>
      <c r="D43" s="9"/>
      <c r="E43" s="9" t="s">
        <v>882</v>
      </c>
    </row>
    <row r="44" spans="1:5" x14ac:dyDescent="0.2">
      <c r="A44" s="7">
        <v>5</v>
      </c>
      <c r="B44" s="9" t="s">
        <v>266</v>
      </c>
      <c r="C44" s="9" t="s">
        <v>883</v>
      </c>
      <c r="D44" s="9"/>
      <c r="E44" s="9" t="s">
        <v>884</v>
      </c>
    </row>
    <row r="45" spans="1:5" ht="25.5" x14ac:dyDescent="0.2">
      <c r="A45" s="7">
        <v>6</v>
      </c>
      <c r="B45" s="9" t="s">
        <v>885</v>
      </c>
      <c r="C45" s="9" t="s">
        <v>886</v>
      </c>
      <c r="D45" s="9"/>
      <c r="E45" s="9" t="s">
        <v>887</v>
      </c>
    </row>
    <row r="46" spans="1:5" ht="25.5" x14ac:dyDescent="0.2">
      <c r="A46" s="7">
        <v>7</v>
      </c>
      <c r="B46" s="9" t="s">
        <v>888</v>
      </c>
      <c r="C46" s="9" t="s">
        <v>889</v>
      </c>
      <c r="D46" s="9"/>
      <c r="E46" s="9" t="s">
        <v>890</v>
      </c>
    </row>
    <row r="47" spans="1:5" ht="25.5" x14ac:dyDescent="0.2">
      <c r="A47" s="7">
        <v>8</v>
      </c>
      <c r="B47" s="9" t="s">
        <v>178</v>
      </c>
      <c r="C47" s="9" t="s">
        <v>891</v>
      </c>
      <c r="D47" s="9"/>
      <c r="E47" s="9" t="s">
        <v>892</v>
      </c>
    </row>
  </sheetData>
  <pageMargins left="0.3888888888888889" right="0.3888888888888889" top="0.5" bottom="0.5" header="0.3" footer="0.3"/>
  <pageSetup paperSize="9" scale="77" fitToHeight="0" orientation="landscape" verticalDpi="0" r:id="rId1"/>
  <headerFooter>
    <oddFooter>&amp;C&amp;P / &amp;N</oddFooter>
  </headerFooter>
</worksheet>
</file>

<file path=xl/worksheets/sheet22.xml><?xml version="1.0" encoding="utf-8"?>
<worksheet xmlns="http://schemas.openxmlformats.org/spreadsheetml/2006/main" xmlns:r="http://schemas.openxmlformats.org/officeDocument/2006/relationships">
  <sheetPr>
    <tabColor rgb="FF1F3864"/>
    <pageSetUpPr fitToPage="1"/>
  </sheetPr>
  <dimension ref="A1:P126"/>
  <sheetViews>
    <sheetView showGridLines="0" rightToLeft="1" zoomScale="90" zoomScaleNormal="90" workbookViewId="0">
      <pane xSplit="1" ySplit="5" topLeftCell="B6" activePane="bottomRight" state="frozen"/>
      <selection pane="topRight"/>
      <selection pane="bottomLeft"/>
      <selection pane="bottomRight" activeCell="N6" sqref="N6"/>
    </sheetView>
  </sheetViews>
  <sheetFormatPr defaultRowHeight="12.75"/>
  <cols>
    <col min="1" max="1" width="13" style="1" customWidth="1"/>
    <col min="2" max="3" width="9.5" style="1" customWidth="1"/>
    <col min="4" max="4" width="9.5" style="1" customWidth="1"/>
    <col min="5" max="5" width="11" style="1" customWidth="1"/>
    <col min="6" max="8" width="15" style="1" customWidth="1"/>
    <col min="9" max="9" width="15" style="1" customWidth="1"/>
    <col min="10" max="11" width="15" style="1" customWidth="1"/>
    <col min="12" max="12" width="3" style="1" customWidth="1"/>
    <col min="13" max="13" width="34" style="1" customWidth="1"/>
    <col min="14" max="16" width="18" style="1" customWidth="1"/>
  </cols>
  <sheetData>
    <row r="1" ht="21" customHeight="1">
      <c r="A1" s="3" t="inlineStr">
        <is>
          <t>برنامج الإنتاج الشهري</t>
        </is>
      </c>
    </row>
    <row r="2">
      <c r="A2" s="5" t="inlineStr">
        <is>
          <t>يوزّع الإنتاج السنوي من ورقة «الخطة الفنية والإنتاج» على الأشهر بحسب أيام العمل في كل شهر. السنة الأولى تبدأ من شهر بدء الإنتاج في «الجدول الزمني». الخلايا الصفراء فقط قابلة للتعديل.</t>
        </is>
      </c>
    </row>
    <row r="4">
      <c r="A4" s="15" t="inlineStr">
        <is>
          <t>أولاً: الإنتاج الشهري — 10 سنوات تشغيل (120 شهراً)</t>
        </is>
      </c>
      <c r="B4" s="15"/>
      <c r="C4" s="15"/>
      <c r="D4" s="15"/>
      <c r="E4" s="15"/>
      <c r="F4" s="15"/>
      <c r="G4" s="15"/>
      <c r="H4" s="15"/>
      <c r="I4" s="15"/>
      <c r="J4" s="15"/>
      <c r="K4" s="15"/>
      <c r="M4" s="15" t="inlineStr">
        <is>
          <t>ثانياً: أيام العمل في كل شهر</t>
        </is>
      </c>
      <c r="N4" s="15"/>
    </row>
    <row r="5" ht="39" customHeight="1">
      <c r="A5" s="6" t="inlineStr">
        <is>
          <t>الشهر</t>
        </is>
      </c>
      <c r="B5" s="6" t="inlineStr">
        <is>
          <t>سنة التشغيل</t>
        </is>
      </c>
      <c r="C5" s="6" t="inlineStr">
        <is>
          <t>رقم الشهر</t>
        </is>
      </c>
      <c r="D5" s="6" t="inlineStr">
        <is>
          <t>أيام العمل</t>
        </is>
      </c>
      <c r="E5" s="6" t="inlineStr">
        <is>
          <t>نسبة استغلال الطاقة</t>
        </is>
      </c>
      <c r="F5" s="6" t="inlineStr">
        <is>
          <t>إجمالي الصخور المحفورة (طن)</t>
        </is>
      </c>
      <c r="G5" s="6" t="inlineStr">
        <is>
          <t>الخام الخارج من المحجر ROM (طن)</t>
        </is>
      </c>
      <c r="H5" s="6" t="inlineStr">
        <is>
          <t>الخام القابل للبيع (طن)</t>
        </is>
      </c>
      <c r="I5" s="6" t="inlineStr">
        <is>
          <t>متوسط الإنتاج اليومي القابل للبيع (طن/يوم)</t>
        </is>
      </c>
      <c r="J5" s="6" t="inlineStr">
        <is>
          <t>الخام القابل للبيع — تراكمي (طن)</t>
        </is>
      </c>
      <c r="K5" s="6" t="inlineStr">
        <is>
          <t>الاحتياطي المتبقي آخر الشهر (طن)</t>
        </is>
      </c>
      <c r="M5" s="6" t="inlineStr">
        <is>
          <t>الشهر</t>
        </is>
      </c>
      <c r="N5" s="6" t="inlineStr">
        <is>
          <t>أيام العمل</t>
        </is>
      </c>
    </row>
    <row r="6">
      <c r="A6" s="51">
        <f>EDATE($N$21,C6-1)</f>
        <v>46661</v>
      </c>
      <c r="B6" s="7">
        <f>INT((C6-1)/12)+1</f>
        <v>1</v>
      </c>
      <c r="C6" s="7">
        <v>1</v>
      </c>
      <c r="D6" s="11">
        <f>INDEX($N$6:$N$17,MONTH(A6))</f>
        <v>25</v>
      </c>
      <c r="E6" s="17">
        <f>INDEX('الخطة الفنية والإنتاج'!$D$15:$M$15,B6)</f>
        <v>0.7</v>
      </c>
      <c r="F6" s="11">
        <f>IF($N$18&gt;0,INDEX('الخطة الفنية والإنتاج'!$D$16:$M$16,B6)*D6/$N$18,0)</f>
        <v>7350</v>
      </c>
      <c r="G6" s="11">
        <f>IF($N$18&gt;0,INDEX('الخطة الفنية والإنتاج'!$D$17:$M$17,B6)*D6/$N$18,0)</f>
        <v>816.6666666666666</v>
      </c>
      <c r="H6" s="13">
        <f>IF($N$18&gt;0,INDEX('الخطة الفنية والإنتاج'!$D$18:$M$18,B6)*D6/$N$18,0)</f>
        <v>694.1666666666666</v>
      </c>
      <c r="I6" s="31">
        <f>IF(D6&gt;0,H6/D6,0)</f>
        <v>27.766666666666666</v>
      </c>
      <c r="J6" s="11">
        <f>SUM($H$6:H6)</f>
        <v>694.1666666666666</v>
      </c>
      <c r="K6" s="11">
        <f>OreReserve-SUM($G$6:G6)</f>
        <v>139183.33333333334</v>
      </c>
      <c r="M6" s="9" t="inlineStr">
        <is>
          <t>يناير</t>
        </is>
      </c>
      <c r="N6" s="10">
        <v>25</v>
      </c>
    </row>
    <row r="7">
      <c r="A7" s="51">
        <f>EDATE($N$21,C7-1)</f>
        <v>46692</v>
      </c>
      <c r="B7" s="7">
        <f>INT((C7-1)/12)+1</f>
        <v>1</v>
      </c>
      <c r="C7" s="7">
        <v>2</v>
      </c>
      <c r="D7" s="11">
        <f>INDEX($N$6:$N$17,MONTH(A7))</f>
        <v>25</v>
      </c>
      <c r="E7" s="17">
        <f>INDEX('الخطة الفنية والإنتاج'!$D$15:$M$15,B7)</f>
        <v>0.7</v>
      </c>
      <c r="F7" s="11">
        <f>IF($N$18&gt;0,INDEX('الخطة الفنية والإنتاج'!$D$16:$M$16,B7)*D7/$N$18,0)</f>
        <v>7350</v>
      </c>
      <c r="G7" s="11">
        <f>IF($N$18&gt;0,INDEX('الخطة الفنية والإنتاج'!$D$17:$M$17,B7)*D7/$N$18,0)</f>
        <v>816.6666666666666</v>
      </c>
      <c r="H7" s="13">
        <f>IF($N$18&gt;0,INDEX('الخطة الفنية والإنتاج'!$D$18:$M$18,B7)*D7/$N$18,0)</f>
        <v>694.1666666666666</v>
      </c>
      <c r="I7" s="31">
        <f>IF(D7&gt;0,H7/D7,0)</f>
        <v>27.766666666666666</v>
      </c>
      <c r="J7" s="11">
        <f>SUM($H$6:H7)</f>
        <v>1388.3333333333333</v>
      </c>
      <c r="K7" s="11">
        <f>OreReserve-SUM($G$6:G7)</f>
        <v>138366.66666666666</v>
      </c>
      <c r="M7" s="9" t="inlineStr">
        <is>
          <t>فبراير</t>
        </is>
      </c>
      <c r="N7" s="10">
        <v>25</v>
      </c>
    </row>
    <row r="8">
      <c r="A8" s="51">
        <f>EDATE($N$21,C8-1)</f>
        <v>46722</v>
      </c>
      <c r="B8" s="7">
        <f>INT((C8-1)/12)+1</f>
        <v>1</v>
      </c>
      <c r="C8" s="7">
        <v>3</v>
      </c>
      <c r="D8" s="11">
        <f>INDEX($N$6:$N$17,MONTH(A8))</f>
        <v>25</v>
      </c>
      <c r="E8" s="17">
        <f>INDEX('الخطة الفنية والإنتاج'!$D$15:$M$15,B8)</f>
        <v>0.7</v>
      </c>
      <c r="F8" s="11">
        <f>IF($N$18&gt;0,INDEX('الخطة الفنية والإنتاج'!$D$16:$M$16,B8)*D8/$N$18,0)</f>
        <v>7350</v>
      </c>
      <c r="G8" s="11">
        <f>IF($N$18&gt;0,INDEX('الخطة الفنية والإنتاج'!$D$17:$M$17,B8)*D8/$N$18,0)</f>
        <v>816.6666666666666</v>
      </c>
      <c r="H8" s="13">
        <f>IF($N$18&gt;0,INDEX('الخطة الفنية والإنتاج'!$D$18:$M$18,B8)*D8/$N$18,0)</f>
        <v>694.1666666666666</v>
      </c>
      <c r="I8" s="31">
        <f>IF(D8&gt;0,H8/D8,0)</f>
        <v>27.766666666666666</v>
      </c>
      <c r="J8" s="11">
        <f>SUM($H$6:H8)</f>
        <v>2082.5</v>
      </c>
      <c r="K8" s="11">
        <f>OreReserve-SUM($G$6:G8)</f>
        <v>137550</v>
      </c>
      <c r="M8" s="9" t="inlineStr">
        <is>
          <t>مارس</t>
        </is>
      </c>
      <c r="N8" s="10">
        <v>25</v>
      </c>
    </row>
    <row r="9">
      <c r="A9" s="51">
        <f>EDATE($N$21,C9-1)</f>
        <v>46753</v>
      </c>
      <c r="B9" s="7">
        <f>INT((C9-1)/12)+1</f>
        <v>1</v>
      </c>
      <c r="C9" s="7">
        <v>4</v>
      </c>
      <c r="D9" s="11">
        <f>INDEX($N$6:$N$17,MONTH(A9))</f>
        <v>25</v>
      </c>
      <c r="E9" s="17">
        <f>INDEX('الخطة الفنية والإنتاج'!$D$15:$M$15,B9)</f>
        <v>0.7</v>
      </c>
      <c r="F9" s="11">
        <f>IF($N$18&gt;0,INDEX('الخطة الفنية والإنتاج'!$D$16:$M$16,B9)*D9/$N$18,0)</f>
        <v>7350</v>
      </c>
      <c r="G9" s="11">
        <f>IF($N$18&gt;0,INDEX('الخطة الفنية والإنتاج'!$D$17:$M$17,B9)*D9/$N$18,0)</f>
        <v>816.6666666666666</v>
      </c>
      <c r="H9" s="13">
        <f>IF($N$18&gt;0,INDEX('الخطة الفنية والإنتاج'!$D$18:$M$18,B9)*D9/$N$18,0)</f>
        <v>694.1666666666666</v>
      </c>
      <c r="I9" s="31">
        <f>IF(D9&gt;0,H9/D9,0)</f>
        <v>27.766666666666666</v>
      </c>
      <c r="J9" s="11">
        <f>SUM($H$6:H9)</f>
        <v>2776.6666666666665</v>
      </c>
      <c r="K9" s="11">
        <f>OreReserve-SUM($G$6:G9)</f>
        <v>136733.33333333334</v>
      </c>
      <c r="M9" s="9" t="inlineStr">
        <is>
          <t>أبريل</t>
        </is>
      </c>
      <c r="N9" s="10">
        <v>25</v>
      </c>
    </row>
    <row r="10">
      <c r="A10" s="51">
        <f>EDATE($N$21,C10-1)</f>
        <v>46784</v>
      </c>
      <c r="B10" s="7">
        <f>INT((C10-1)/12)+1</f>
        <v>1</v>
      </c>
      <c r="C10" s="7">
        <v>5</v>
      </c>
      <c r="D10" s="11">
        <f>INDEX($N$6:$N$17,MONTH(A10))</f>
        <v>25</v>
      </c>
      <c r="E10" s="17">
        <f>INDEX('الخطة الفنية والإنتاج'!$D$15:$M$15,B10)</f>
        <v>0.7</v>
      </c>
      <c r="F10" s="11">
        <f>IF($N$18&gt;0,INDEX('الخطة الفنية والإنتاج'!$D$16:$M$16,B10)*D10/$N$18,0)</f>
        <v>7350</v>
      </c>
      <c r="G10" s="11">
        <f>IF($N$18&gt;0,INDEX('الخطة الفنية والإنتاج'!$D$17:$M$17,B10)*D10/$N$18,0)</f>
        <v>816.6666666666666</v>
      </c>
      <c r="H10" s="13">
        <f>IF($N$18&gt;0,INDEX('الخطة الفنية والإنتاج'!$D$18:$M$18,B10)*D10/$N$18,0)</f>
        <v>694.1666666666666</v>
      </c>
      <c r="I10" s="31">
        <f>IF(D10&gt;0,H10/D10,0)</f>
        <v>27.766666666666666</v>
      </c>
      <c r="J10" s="11">
        <f>SUM($H$6:H10)</f>
        <v>3470.833333333333</v>
      </c>
      <c r="K10" s="11">
        <f>OreReserve-SUM($G$6:G10)</f>
        <v>135916.66666666666</v>
      </c>
      <c r="M10" s="9" t="inlineStr">
        <is>
          <t>مايو</t>
        </is>
      </c>
      <c r="N10" s="10">
        <v>25</v>
      </c>
    </row>
    <row r="11">
      <c r="A11" s="51">
        <f>EDATE($N$21,C11-1)</f>
        <v>46813</v>
      </c>
      <c r="B11" s="7">
        <f>INT((C11-1)/12)+1</f>
        <v>1</v>
      </c>
      <c r="C11" s="7">
        <v>6</v>
      </c>
      <c r="D11" s="11">
        <f>INDEX($N$6:$N$17,MONTH(A11))</f>
        <v>25</v>
      </c>
      <c r="E11" s="17">
        <f>INDEX('الخطة الفنية والإنتاج'!$D$15:$M$15,B11)</f>
        <v>0.7</v>
      </c>
      <c r="F11" s="11">
        <f>IF($N$18&gt;0,INDEX('الخطة الفنية والإنتاج'!$D$16:$M$16,B11)*D11/$N$18,0)</f>
        <v>7350</v>
      </c>
      <c r="G11" s="11">
        <f>IF($N$18&gt;0,INDEX('الخطة الفنية والإنتاج'!$D$17:$M$17,B11)*D11/$N$18,0)</f>
        <v>816.6666666666666</v>
      </c>
      <c r="H11" s="13">
        <f>IF($N$18&gt;0,INDEX('الخطة الفنية والإنتاج'!$D$18:$M$18,B11)*D11/$N$18,0)</f>
        <v>694.1666666666666</v>
      </c>
      <c r="I11" s="31">
        <f>IF(D11&gt;0,H11/D11,0)</f>
        <v>27.766666666666666</v>
      </c>
      <c r="J11" s="11">
        <f>SUM($H$6:H11)</f>
        <v>4165</v>
      </c>
      <c r="K11" s="11">
        <f>OreReserve-SUM($G$6:G11)</f>
        <v>135100</v>
      </c>
      <c r="M11" s="9" t="inlineStr">
        <is>
          <t>يونيو</t>
        </is>
      </c>
      <c r="N11" s="10">
        <v>25</v>
      </c>
    </row>
    <row r="12">
      <c r="A12" s="51">
        <f>EDATE($N$21,C12-1)</f>
        <v>46844</v>
      </c>
      <c r="B12" s="7">
        <f>INT((C12-1)/12)+1</f>
        <v>1</v>
      </c>
      <c r="C12" s="7">
        <v>7</v>
      </c>
      <c r="D12" s="11">
        <f>INDEX($N$6:$N$17,MONTH(A12))</f>
        <v>25</v>
      </c>
      <c r="E12" s="17">
        <f>INDEX('الخطة الفنية والإنتاج'!$D$15:$M$15,B12)</f>
        <v>0.7</v>
      </c>
      <c r="F12" s="11">
        <f>IF($N$18&gt;0,INDEX('الخطة الفنية والإنتاج'!$D$16:$M$16,B12)*D12/$N$18,0)</f>
        <v>7350</v>
      </c>
      <c r="G12" s="11">
        <f>IF($N$18&gt;0,INDEX('الخطة الفنية والإنتاج'!$D$17:$M$17,B12)*D12/$N$18,0)</f>
        <v>816.6666666666666</v>
      </c>
      <c r="H12" s="13">
        <f>IF($N$18&gt;0,INDEX('الخطة الفنية والإنتاج'!$D$18:$M$18,B12)*D12/$N$18,0)</f>
        <v>694.1666666666666</v>
      </c>
      <c r="I12" s="31">
        <f>IF(D12&gt;0,H12/D12,0)</f>
        <v>27.766666666666666</v>
      </c>
      <c r="J12" s="11">
        <f>SUM($H$6:H12)</f>
        <v>4859.166666666667</v>
      </c>
      <c r="K12" s="11">
        <f>OreReserve-SUM($G$6:G12)</f>
        <v>134283.33333333334</v>
      </c>
      <c r="M12" s="9" t="inlineStr">
        <is>
          <t>يوليو</t>
        </is>
      </c>
      <c r="N12" s="10">
        <v>25</v>
      </c>
    </row>
    <row r="13">
      <c r="A13" s="51">
        <f>EDATE($N$21,C13-1)</f>
        <v>46874</v>
      </c>
      <c r="B13" s="7">
        <f>INT((C13-1)/12)+1</f>
        <v>1</v>
      </c>
      <c r="C13" s="7">
        <v>8</v>
      </c>
      <c r="D13" s="11">
        <f>INDEX($N$6:$N$17,MONTH(A13))</f>
        <v>25</v>
      </c>
      <c r="E13" s="17">
        <f>INDEX('الخطة الفنية والإنتاج'!$D$15:$M$15,B13)</f>
        <v>0.7</v>
      </c>
      <c r="F13" s="11">
        <f>IF($N$18&gt;0,INDEX('الخطة الفنية والإنتاج'!$D$16:$M$16,B13)*D13/$N$18,0)</f>
        <v>7350</v>
      </c>
      <c r="G13" s="11">
        <f>IF($N$18&gt;0,INDEX('الخطة الفنية والإنتاج'!$D$17:$M$17,B13)*D13/$N$18,0)</f>
        <v>816.6666666666666</v>
      </c>
      <c r="H13" s="13">
        <f>IF($N$18&gt;0,INDEX('الخطة الفنية والإنتاج'!$D$18:$M$18,B13)*D13/$N$18,0)</f>
        <v>694.1666666666666</v>
      </c>
      <c r="I13" s="31">
        <f>IF(D13&gt;0,H13/D13,0)</f>
        <v>27.766666666666666</v>
      </c>
      <c r="J13" s="11">
        <f>SUM($H$6:H13)</f>
        <v>5553.333333333334</v>
      </c>
      <c r="K13" s="11">
        <f>OreReserve-SUM($G$6:G13)</f>
        <v>133466.66666666666</v>
      </c>
      <c r="M13" s="9" t="inlineStr">
        <is>
          <t>أغسطس</t>
        </is>
      </c>
      <c r="N13" s="10">
        <v>25</v>
      </c>
    </row>
    <row r="14">
      <c r="A14" s="51">
        <f>EDATE($N$21,C14-1)</f>
        <v>46905</v>
      </c>
      <c r="B14" s="7">
        <f>INT((C14-1)/12)+1</f>
        <v>1</v>
      </c>
      <c r="C14" s="7">
        <v>9</v>
      </c>
      <c r="D14" s="11">
        <f>INDEX($N$6:$N$17,MONTH(A14))</f>
        <v>25</v>
      </c>
      <c r="E14" s="17">
        <f>INDEX('الخطة الفنية والإنتاج'!$D$15:$M$15,B14)</f>
        <v>0.7</v>
      </c>
      <c r="F14" s="11">
        <f>IF($N$18&gt;0,INDEX('الخطة الفنية والإنتاج'!$D$16:$M$16,B14)*D14/$N$18,0)</f>
        <v>7350</v>
      </c>
      <c r="G14" s="11">
        <f>IF($N$18&gt;0,INDEX('الخطة الفنية والإنتاج'!$D$17:$M$17,B14)*D14/$N$18,0)</f>
        <v>816.6666666666666</v>
      </c>
      <c r="H14" s="13">
        <f>IF($N$18&gt;0,INDEX('الخطة الفنية والإنتاج'!$D$18:$M$18,B14)*D14/$N$18,0)</f>
        <v>694.1666666666666</v>
      </c>
      <c r="I14" s="31">
        <f>IF(D14&gt;0,H14/D14,0)</f>
        <v>27.766666666666666</v>
      </c>
      <c r="J14" s="11">
        <f>SUM($H$6:H14)</f>
        <v>6247.500000000001</v>
      </c>
      <c r="K14" s="11">
        <f>OreReserve-SUM($G$6:G14)</f>
        <v>132650</v>
      </c>
      <c r="M14" s="9" t="inlineStr">
        <is>
          <t>سبتمبر</t>
        </is>
      </c>
      <c r="N14" s="10">
        <v>25</v>
      </c>
    </row>
    <row r="15">
      <c r="A15" s="51">
        <f>EDATE($N$21,C15-1)</f>
        <v>46935</v>
      </c>
      <c r="B15" s="7">
        <f>INT((C15-1)/12)+1</f>
        <v>1</v>
      </c>
      <c r="C15" s="7">
        <v>10</v>
      </c>
      <c r="D15" s="11">
        <f>INDEX($N$6:$N$17,MONTH(A15))</f>
        <v>25</v>
      </c>
      <c r="E15" s="17">
        <f>INDEX('الخطة الفنية والإنتاج'!$D$15:$M$15,B15)</f>
        <v>0.7</v>
      </c>
      <c r="F15" s="11">
        <f>IF($N$18&gt;0,INDEX('الخطة الفنية والإنتاج'!$D$16:$M$16,B15)*D15/$N$18,0)</f>
        <v>7350</v>
      </c>
      <c r="G15" s="11">
        <f>IF($N$18&gt;0,INDEX('الخطة الفنية والإنتاج'!$D$17:$M$17,B15)*D15/$N$18,0)</f>
        <v>816.6666666666666</v>
      </c>
      <c r="H15" s="13">
        <f>IF($N$18&gt;0,INDEX('الخطة الفنية والإنتاج'!$D$18:$M$18,B15)*D15/$N$18,0)</f>
        <v>694.1666666666666</v>
      </c>
      <c r="I15" s="31">
        <f>IF(D15&gt;0,H15/D15,0)</f>
        <v>27.766666666666666</v>
      </c>
      <c r="J15" s="11">
        <f>SUM($H$6:H15)</f>
        <v>6941.666666666668</v>
      </c>
      <c r="K15" s="11">
        <f>OreReserve-SUM($G$6:G15)</f>
        <v>131833.33333333334</v>
      </c>
      <c r="M15" s="9" t="inlineStr">
        <is>
          <t>أكتوبر</t>
        </is>
      </c>
      <c r="N15" s="10">
        <v>25</v>
      </c>
    </row>
    <row r="16">
      <c r="A16" s="51">
        <f>EDATE($N$21,C16-1)</f>
        <v>46966</v>
      </c>
      <c r="B16" s="7">
        <f>INT((C16-1)/12)+1</f>
        <v>1</v>
      </c>
      <c r="C16" s="7">
        <v>11</v>
      </c>
      <c r="D16" s="11">
        <f>INDEX($N$6:$N$17,MONTH(A16))</f>
        <v>25</v>
      </c>
      <c r="E16" s="17">
        <f>INDEX('الخطة الفنية والإنتاج'!$D$15:$M$15,B16)</f>
        <v>0.7</v>
      </c>
      <c r="F16" s="11">
        <f>IF($N$18&gt;0,INDEX('الخطة الفنية والإنتاج'!$D$16:$M$16,B16)*D16/$N$18,0)</f>
        <v>7350</v>
      </c>
      <c r="G16" s="11">
        <f>IF($N$18&gt;0,INDEX('الخطة الفنية والإنتاج'!$D$17:$M$17,B16)*D16/$N$18,0)</f>
        <v>816.6666666666666</v>
      </c>
      <c r="H16" s="13">
        <f>IF($N$18&gt;0,INDEX('الخطة الفنية والإنتاج'!$D$18:$M$18,B16)*D16/$N$18,0)</f>
        <v>694.1666666666666</v>
      </c>
      <c r="I16" s="31">
        <f>IF(D16&gt;0,H16/D16,0)</f>
        <v>27.766666666666666</v>
      </c>
      <c r="J16" s="11">
        <f>SUM($H$6:H16)</f>
        <v>7635.833333333335</v>
      </c>
      <c r="K16" s="11">
        <f>OreReserve-SUM($G$6:G16)</f>
        <v>131016.66666666667</v>
      </c>
      <c r="M16" s="9" t="inlineStr">
        <is>
          <t>نوفمبر</t>
        </is>
      </c>
      <c r="N16" s="10">
        <v>25</v>
      </c>
    </row>
    <row r="17">
      <c r="A17" s="51">
        <f>EDATE($N$21,C17-1)</f>
        <v>46997</v>
      </c>
      <c r="B17" s="7">
        <f>INT((C17-1)/12)+1</f>
        <v>1</v>
      </c>
      <c r="C17" s="7">
        <v>12</v>
      </c>
      <c r="D17" s="11">
        <f>INDEX($N$6:$N$17,MONTH(A17))</f>
        <v>25</v>
      </c>
      <c r="E17" s="17">
        <f>INDEX('الخطة الفنية والإنتاج'!$D$15:$M$15,B17)</f>
        <v>0.7</v>
      </c>
      <c r="F17" s="11">
        <f>IF($N$18&gt;0,INDEX('الخطة الفنية والإنتاج'!$D$16:$M$16,B17)*D17/$N$18,0)</f>
        <v>7350</v>
      </c>
      <c r="G17" s="11">
        <f>IF($N$18&gt;0,INDEX('الخطة الفنية والإنتاج'!$D$17:$M$17,B17)*D17/$N$18,0)</f>
        <v>816.6666666666666</v>
      </c>
      <c r="H17" s="13">
        <f>IF($N$18&gt;0,INDEX('الخطة الفنية والإنتاج'!$D$18:$M$18,B17)*D17/$N$18,0)</f>
        <v>694.1666666666666</v>
      </c>
      <c r="I17" s="31">
        <f>IF(D17&gt;0,H17/D17,0)</f>
        <v>27.766666666666666</v>
      </c>
      <c r="J17" s="11">
        <f>SUM($H$6:H17)</f>
        <v>8330.000000000002</v>
      </c>
      <c r="K17" s="11">
        <f>OreReserve-SUM($G$6:G17)</f>
        <v>130200</v>
      </c>
      <c r="M17" s="9" t="inlineStr">
        <is>
          <t>ديسمبر</t>
        </is>
      </c>
      <c r="N17" s="10">
        <v>25</v>
      </c>
    </row>
    <row r="18">
      <c r="A18" s="51">
        <f>EDATE($N$21,C18-1)</f>
        <v>47027</v>
      </c>
      <c r="B18" s="7">
        <f>INT((C18-1)/12)+1</f>
        <v>2</v>
      </c>
      <c r="C18" s="7">
        <v>13</v>
      </c>
      <c r="D18" s="11">
        <f>INDEX($N$6:$N$17,MONTH(A18))</f>
        <v>25</v>
      </c>
      <c r="E18" s="17">
        <f>INDEX('الخطة الفنية والإنتاج'!$D$15:$M$15,B18)</f>
        <v>0.9</v>
      </c>
      <c r="F18" s="11">
        <f>IF($N$18&gt;0,INDEX('الخطة الفنية والإنتاج'!$D$16:$M$16,B18)*D18/$N$18,0)</f>
        <v>9450</v>
      </c>
      <c r="G18" s="11">
        <f>IF($N$18&gt;0,INDEX('الخطة الفنية والإنتاج'!$D$17:$M$17,B18)*D18/$N$18,0)</f>
        <v>1050</v>
      </c>
      <c r="H18" s="13">
        <f>IF($N$18&gt;0,INDEX('الخطة الفنية والإنتاج'!$D$18:$M$18,B18)*D18/$N$18,0)</f>
        <v>892.5</v>
      </c>
      <c r="I18" s="31">
        <f>IF(D18&gt;0,H18/D18,0)</f>
        <v>35.7</v>
      </c>
      <c r="J18" s="11">
        <f>SUM($H$6:H18)</f>
        <v>9222.500000000002</v>
      </c>
      <c r="K18" s="11">
        <f>OreReserve-SUM($G$6:G18)</f>
        <v>129150</v>
      </c>
      <c r="M18" s="32" t="inlineStr">
        <is>
          <t>مجموع أيام العمل في السنة</t>
        </is>
      </c>
      <c r="N18" s="12">
        <f>SUM(N6:N17)</f>
        <v>300</v>
      </c>
    </row>
    <row r="19">
      <c r="A19" s="51">
        <f>EDATE($N$21,C19-1)</f>
        <v>47058</v>
      </c>
      <c r="B19" s="7">
        <f>INT((C19-1)/12)+1</f>
        <v>2</v>
      </c>
      <c r="C19" s="7">
        <v>14</v>
      </c>
      <c r="D19" s="11">
        <f>INDEX($N$6:$N$17,MONTH(A19))</f>
        <v>25</v>
      </c>
      <c r="E19" s="17">
        <f>INDEX('الخطة الفنية والإنتاج'!$D$15:$M$15,B19)</f>
        <v>0.9</v>
      </c>
      <c r="F19" s="11">
        <f>IF($N$18&gt;0,INDEX('الخطة الفنية والإنتاج'!$D$16:$M$16,B19)*D19/$N$18,0)</f>
        <v>9450</v>
      </c>
      <c r="G19" s="11">
        <f>IF($N$18&gt;0,INDEX('الخطة الفنية والإنتاج'!$D$17:$M$17,B19)*D19/$N$18,0)</f>
        <v>1050</v>
      </c>
      <c r="H19" s="13">
        <f>IF($N$18&gt;0,INDEX('الخطة الفنية والإنتاج'!$D$18:$M$18,B19)*D19/$N$18,0)</f>
        <v>892.5</v>
      </c>
      <c r="I19" s="31">
        <f>IF(D19&gt;0,H19/D19,0)</f>
        <v>35.7</v>
      </c>
      <c r="J19" s="11">
        <f>SUM($H$6:H19)</f>
        <v>10115.000000000002</v>
      </c>
      <c r="K19" s="11">
        <f>OreReserve-SUM($G$6:G19)</f>
        <v>128100</v>
      </c>
      <c r="M19" s="9" t="inlineStr">
        <is>
          <t>أيام العمل في ورقة «الافتراضات»</t>
        </is>
      </c>
      <c r="N19" s="11">
        <f>WorkDays</f>
        <v>300</v>
      </c>
    </row>
    <row r="20">
      <c r="A20" s="51">
        <f>EDATE($N$21,C20-1)</f>
        <v>47088</v>
      </c>
      <c r="B20" s="7">
        <f>INT((C20-1)/12)+1</f>
        <v>2</v>
      </c>
      <c r="C20" s="7">
        <v>15</v>
      </c>
      <c r="D20" s="11">
        <f>INDEX($N$6:$N$17,MONTH(A20))</f>
        <v>25</v>
      </c>
      <c r="E20" s="17">
        <f>INDEX('الخطة الفنية والإنتاج'!$D$15:$M$15,B20)</f>
        <v>0.9</v>
      </c>
      <c r="F20" s="11">
        <f>IF($N$18&gt;0,INDEX('الخطة الفنية والإنتاج'!$D$16:$M$16,B20)*D20/$N$18,0)</f>
        <v>9450</v>
      </c>
      <c r="G20" s="11">
        <f>IF($N$18&gt;0,INDEX('الخطة الفنية والإنتاج'!$D$17:$M$17,B20)*D20/$N$18,0)</f>
        <v>1050</v>
      </c>
      <c r="H20" s="13">
        <f>IF($N$18&gt;0,INDEX('الخطة الفنية والإنتاج'!$D$18:$M$18,B20)*D20/$N$18,0)</f>
        <v>892.5</v>
      </c>
      <c r="I20" s="31">
        <f>IF(D20&gt;0,H20/D20,0)</f>
        <v>35.7</v>
      </c>
      <c r="J20" s="11">
        <f>SUM($H$6:H20)</f>
        <v>11007.500000000002</v>
      </c>
      <c r="K20" s="11">
        <f>OreReserve-SUM($G$6:G20)</f>
        <v>127050</v>
      </c>
      <c r="M20" s="9" t="inlineStr">
        <is>
          <t>التحقق</t>
        </is>
      </c>
      <c r="N20" s="22" t="str">
        <f>IF(N18=N19,"مطابق","المجموع يختلف عن «الافتراضات» — الإنتاج السنوي محسوب على أيام الافتراضات")</f>
        <v>مطابق</v>
      </c>
    </row>
    <row r="21">
      <c r="A21" s="51">
        <f>EDATE($N$21,C21-1)</f>
        <v>47119</v>
      </c>
      <c r="B21" s="7">
        <f>INT((C21-1)/12)+1</f>
        <v>2</v>
      </c>
      <c r="C21" s="7">
        <v>16</v>
      </c>
      <c r="D21" s="11">
        <f>INDEX($N$6:$N$17,MONTH(A21))</f>
        <v>25</v>
      </c>
      <c r="E21" s="17">
        <f>INDEX('الخطة الفنية والإنتاج'!$D$15:$M$15,B21)</f>
        <v>0.9</v>
      </c>
      <c r="F21" s="11">
        <f>IF($N$18&gt;0,INDEX('الخطة الفنية والإنتاج'!$D$16:$M$16,B21)*D21/$N$18,0)</f>
        <v>9450</v>
      </c>
      <c r="G21" s="11">
        <f>IF($N$18&gt;0,INDEX('الخطة الفنية والإنتاج'!$D$17:$M$17,B21)*D21/$N$18,0)</f>
        <v>1050</v>
      </c>
      <c r="H21" s="13">
        <f>IF($N$18&gt;0,INDEX('الخطة الفنية والإنتاج'!$D$18:$M$18,B21)*D21/$N$18,0)</f>
        <v>892.5</v>
      </c>
      <c r="I21" s="31">
        <f>IF(D21&gt;0,H21/D21,0)</f>
        <v>35.7</v>
      </c>
      <c r="J21" s="11">
        <f>SUM($H$6:H21)</f>
        <v>11900.000000000002</v>
      </c>
      <c r="K21" s="11">
        <f>OreReserve-SUM($G$6:G21)</f>
        <v>126000</v>
      </c>
      <c r="M21" s="9" t="inlineStr">
        <is>
          <t>شهر بدء الإنتاج (من «الجدول الزمني»)</t>
        </is>
      </c>
      <c r="N21" s="41">
        <f>EDATE(StartDate,'الجدول الزمني'!$C$28-1)</f>
        <v>46661</v>
      </c>
    </row>
    <row r="22">
      <c r="A22" s="51">
        <f>EDATE($N$21,C22-1)</f>
        <v>47150</v>
      </c>
      <c r="B22" s="7">
        <f>INT((C22-1)/12)+1</f>
        <v>2</v>
      </c>
      <c r="C22" s="7">
        <v>17</v>
      </c>
      <c r="D22" s="11">
        <f>INDEX($N$6:$N$17,MONTH(A22))</f>
        <v>25</v>
      </c>
      <c r="E22" s="17">
        <f>INDEX('الخطة الفنية والإنتاج'!$D$15:$M$15,B22)</f>
        <v>0.9</v>
      </c>
      <c r="F22" s="11">
        <f>IF($N$18&gt;0,INDEX('الخطة الفنية والإنتاج'!$D$16:$M$16,B22)*D22/$N$18,0)</f>
        <v>9450</v>
      </c>
      <c r="G22" s="11">
        <f>IF($N$18&gt;0,INDEX('الخطة الفنية والإنتاج'!$D$17:$M$17,B22)*D22/$N$18,0)</f>
        <v>1050</v>
      </c>
      <c r="H22" s="13">
        <f>IF($N$18&gt;0,INDEX('الخطة الفنية والإنتاج'!$D$18:$M$18,B22)*D22/$N$18,0)</f>
        <v>892.5</v>
      </c>
      <c r="I22" s="31">
        <f>IF(D22&gt;0,H22/D22,0)</f>
        <v>35.7</v>
      </c>
      <c r="J22" s="11">
        <f>SUM($H$6:H22)</f>
        <v>12792.500000000002</v>
      </c>
      <c r="K22" s="11">
        <f>OreReserve-SUM($G$6:G22)</f>
        <v>124950</v>
      </c>
      <c r="M22" s="5" t="inlineStr">
        <is>
          <t>عدّل أيام كل شهر لمراعاة رمضان والأعياد وحر الصيف؛ يُعاد توزيع الإنتاج السنوي فقط دون تغيير مجموعه.</t>
        </is>
      </c>
    </row>
    <row r="23">
      <c r="A23" s="51">
        <f>EDATE($N$21,C23-1)</f>
        <v>47178</v>
      </c>
      <c r="B23" s="7">
        <f>INT((C23-1)/12)+1</f>
        <v>2</v>
      </c>
      <c r="C23" s="7">
        <v>18</v>
      </c>
      <c r="D23" s="11">
        <f>INDEX($N$6:$N$17,MONTH(A23))</f>
        <v>25</v>
      </c>
      <c r="E23" s="17">
        <f>INDEX('الخطة الفنية والإنتاج'!$D$15:$M$15,B23)</f>
        <v>0.9</v>
      </c>
      <c r="F23" s="11">
        <f>IF($N$18&gt;0,INDEX('الخطة الفنية والإنتاج'!$D$16:$M$16,B23)*D23/$N$18,0)</f>
        <v>9450</v>
      </c>
      <c r="G23" s="11">
        <f>IF($N$18&gt;0,INDEX('الخطة الفنية والإنتاج'!$D$17:$M$17,B23)*D23/$N$18,0)</f>
        <v>1050</v>
      </c>
      <c r="H23" s="13">
        <f>IF($N$18&gt;0,INDEX('الخطة الفنية والإنتاج'!$D$18:$M$18,B23)*D23/$N$18,0)</f>
        <v>892.5</v>
      </c>
      <c r="I23" s="31">
        <f>IF(D23&gt;0,H23/D23,0)</f>
        <v>35.7</v>
      </c>
      <c r="J23" s="11">
        <f>SUM($H$6:H23)</f>
        <v>13685.000000000002</v>
      </c>
      <c r="K23" s="11">
        <f>OreReserve-SUM($G$6:G23)</f>
        <v>123900</v>
      </c>
    </row>
    <row r="24">
      <c r="A24" s="51">
        <f>EDATE($N$21,C24-1)</f>
        <v>47209</v>
      </c>
      <c r="B24" s="7">
        <f>INT((C24-1)/12)+1</f>
        <v>2</v>
      </c>
      <c r="C24" s="7">
        <v>19</v>
      </c>
      <c r="D24" s="11">
        <f>INDEX($N$6:$N$17,MONTH(A24))</f>
        <v>25</v>
      </c>
      <c r="E24" s="17">
        <f>INDEX('الخطة الفنية والإنتاج'!$D$15:$M$15,B24)</f>
        <v>0.9</v>
      </c>
      <c r="F24" s="11">
        <f>IF($N$18&gt;0,INDEX('الخطة الفنية والإنتاج'!$D$16:$M$16,B24)*D24/$N$18,0)</f>
        <v>9450</v>
      </c>
      <c r="G24" s="11">
        <f>IF($N$18&gt;0,INDEX('الخطة الفنية والإنتاج'!$D$17:$M$17,B24)*D24/$N$18,0)</f>
        <v>1050</v>
      </c>
      <c r="H24" s="13">
        <f>IF($N$18&gt;0,INDEX('الخطة الفنية والإنتاج'!$D$18:$M$18,B24)*D24/$N$18,0)</f>
        <v>892.5</v>
      </c>
      <c r="I24" s="31">
        <f>IF(D24&gt;0,H24/D24,0)</f>
        <v>35.7</v>
      </c>
      <c r="J24" s="11">
        <f>SUM($H$6:H24)</f>
        <v>14577.500000000002</v>
      </c>
      <c r="K24" s="11">
        <f>OreReserve-SUM($G$6:G24)</f>
        <v>122850</v>
      </c>
      <c r="M24" s="15" t="inlineStr">
        <is>
          <t>ثالثاً: مطابقة الخام القابل للبيع مع الورقة السنوية</t>
        </is>
      </c>
      <c r="N24" s="15"/>
      <c r="O24" s="15"/>
      <c r="P24" s="15"/>
    </row>
    <row r="25">
      <c r="A25" s="51">
        <f>EDATE($N$21,C25-1)</f>
        <v>47239</v>
      </c>
      <c r="B25" s="7">
        <f>INT((C25-1)/12)+1</f>
        <v>2</v>
      </c>
      <c r="C25" s="7">
        <v>20</v>
      </c>
      <c r="D25" s="11">
        <f>INDEX($N$6:$N$17,MONTH(A25))</f>
        <v>25</v>
      </c>
      <c r="E25" s="17">
        <f>INDEX('الخطة الفنية والإنتاج'!$D$15:$M$15,B25)</f>
        <v>0.9</v>
      </c>
      <c r="F25" s="11">
        <f>IF($N$18&gt;0,INDEX('الخطة الفنية والإنتاج'!$D$16:$M$16,B25)*D25/$N$18,0)</f>
        <v>9450</v>
      </c>
      <c r="G25" s="11">
        <f>IF($N$18&gt;0,INDEX('الخطة الفنية والإنتاج'!$D$17:$M$17,B25)*D25/$N$18,0)</f>
        <v>1050</v>
      </c>
      <c r="H25" s="13">
        <f>IF($N$18&gt;0,INDEX('الخطة الفنية والإنتاج'!$D$18:$M$18,B25)*D25/$N$18,0)</f>
        <v>892.5</v>
      </c>
      <c r="I25" s="31">
        <f>IF(D25&gt;0,H25/D25,0)</f>
        <v>35.7</v>
      </c>
      <c r="J25" s="11">
        <f>SUM($H$6:H25)</f>
        <v>15470.000000000002</v>
      </c>
      <c r="K25" s="11">
        <f>OreReserve-SUM($G$6:G25)</f>
        <v>121800</v>
      </c>
      <c r="M25" s="6" t="inlineStr">
        <is>
          <t>سنة التشغيل</t>
        </is>
      </c>
      <c r="N25" s="6" t="inlineStr">
        <is>
          <t>مجموع الأشهر (طن)</t>
        </is>
      </c>
      <c r="O25" s="6" t="inlineStr">
        <is>
          <t>الورقة السنوية (طن)</t>
        </is>
      </c>
      <c r="P25" s="6" t="inlineStr">
        <is>
          <t>الفرق (طن)</t>
        </is>
      </c>
    </row>
    <row r="26">
      <c r="A26" s="51">
        <f>EDATE($N$21,C26-1)</f>
        <v>47270</v>
      </c>
      <c r="B26" s="7">
        <f>INT((C26-1)/12)+1</f>
        <v>2</v>
      </c>
      <c r="C26" s="7">
        <v>21</v>
      </c>
      <c r="D26" s="11">
        <f>INDEX($N$6:$N$17,MONTH(A26))</f>
        <v>25</v>
      </c>
      <c r="E26" s="17">
        <f>INDEX('الخطة الفنية والإنتاج'!$D$15:$M$15,B26)</f>
        <v>0.9</v>
      </c>
      <c r="F26" s="11">
        <f>IF($N$18&gt;0,INDEX('الخطة الفنية والإنتاج'!$D$16:$M$16,B26)*D26/$N$18,0)</f>
        <v>9450</v>
      </c>
      <c r="G26" s="11">
        <f>IF($N$18&gt;0,INDEX('الخطة الفنية والإنتاج'!$D$17:$M$17,B26)*D26/$N$18,0)</f>
        <v>1050</v>
      </c>
      <c r="H26" s="13">
        <f>IF($N$18&gt;0,INDEX('الخطة الفنية والإنتاج'!$D$18:$M$18,B26)*D26/$N$18,0)</f>
        <v>892.5</v>
      </c>
      <c r="I26" s="31">
        <f>IF(D26&gt;0,H26/D26,0)</f>
        <v>35.7</v>
      </c>
      <c r="J26" s="11">
        <f>SUM($H$6:H26)</f>
        <v>16362.500000000002</v>
      </c>
      <c r="K26" s="11">
        <f>OreReserve-SUM($G$6:G26)</f>
        <v>120750</v>
      </c>
      <c r="M26" s="7">
        <v>1</v>
      </c>
      <c r="N26" s="11">
        <f>SUMIF($B$6:$B$125,M26,$H$6:$H$125)</f>
        <v>8330</v>
      </c>
      <c r="O26" s="11">
        <f>INDEX('الخطة الفنية والإنتاج'!$D$18:$M$18,M26)</f>
        <v>8330</v>
      </c>
      <c r="P26" s="11">
        <f>N26-O26</f>
        <v>0</v>
      </c>
    </row>
    <row r="27">
      <c r="A27" s="51">
        <f>EDATE($N$21,C27-1)</f>
        <v>47300</v>
      </c>
      <c r="B27" s="7">
        <f>INT((C27-1)/12)+1</f>
        <v>2</v>
      </c>
      <c r="C27" s="7">
        <v>22</v>
      </c>
      <c r="D27" s="11">
        <f>INDEX($N$6:$N$17,MONTH(A27))</f>
        <v>25</v>
      </c>
      <c r="E27" s="17">
        <f>INDEX('الخطة الفنية والإنتاج'!$D$15:$M$15,B27)</f>
        <v>0.9</v>
      </c>
      <c r="F27" s="11">
        <f>IF($N$18&gt;0,INDEX('الخطة الفنية والإنتاج'!$D$16:$M$16,B27)*D27/$N$18,0)</f>
        <v>9450</v>
      </c>
      <c r="G27" s="11">
        <f>IF($N$18&gt;0,INDEX('الخطة الفنية والإنتاج'!$D$17:$M$17,B27)*D27/$N$18,0)</f>
        <v>1050</v>
      </c>
      <c r="H27" s="13">
        <f>IF($N$18&gt;0,INDEX('الخطة الفنية والإنتاج'!$D$18:$M$18,B27)*D27/$N$18,0)</f>
        <v>892.5</v>
      </c>
      <c r="I27" s="31">
        <f>IF(D27&gt;0,H27/D27,0)</f>
        <v>35.7</v>
      </c>
      <c r="J27" s="11">
        <f>SUM($H$6:H27)</f>
        <v>17255</v>
      </c>
      <c r="K27" s="11">
        <f>OreReserve-SUM($G$6:G27)</f>
        <v>119700</v>
      </c>
      <c r="M27" s="7">
        <v>2</v>
      </c>
      <c r="N27" s="11">
        <f>SUMIF($B$6:$B$125,M27,$H$6:$H$125)</f>
        <v>10710</v>
      </c>
      <c r="O27" s="11">
        <f>INDEX('الخطة الفنية والإنتاج'!$D$18:$M$18,M27)</f>
        <v>10710</v>
      </c>
      <c r="P27" s="11">
        <f>N27-O27</f>
        <v>0</v>
      </c>
    </row>
    <row r="28">
      <c r="A28" s="51">
        <f>EDATE($N$21,C28-1)</f>
        <v>47331</v>
      </c>
      <c r="B28" s="7">
        <f>INT((C28-1)/12)+1</f>
        <v>2</v>
      </c>
      <c r="C28" s="7">
        <v>23</v>
      </c>
      <c r="D28" s="11">
        <f>INDEX($N$6:$N$17,MONTH(A28))</f>
        <v>25</v>
      </c>
      <c r="E28" s="17">
        <f>INDEX('الخطة الفنية والإنتاج'!$D$15:$M$15,B28)</f>
        <v>0.9</v>
      </c>
      <c r="F28" s="11">
        <f>IF($N$18&gt;0,INDEX('الخطة الفنية والإنتاج'!$D$16:$M$16,B28)*D28/$N$18,0)</f>
        <v>9450</v>
      </c>
      <c r="G28" s="11">
        <f>IF($N$18&gt;0,INDEX('الخطة الفنية والإنتاج'!$D$17:$M$17,B28)*D28/$N$18,0)</f>
        <v>1050</v>
      </c>
      <c r="H28" s="13">
        <f>IF($N$18&gt;0,INDEX('الخطة الفنية والإنتاج'!$D$18:$M$18,B28)*D28/$N$18,0)</f>
        <v>892.5</v>
      </c>
      <c r="I28" s="31">
        <f>IF(D28&gt;0,H28/D28,0)</f>
        <v>35.7</v>
      </c>
      <c r="J28" s="11">
        <f>SUM($H$6:H28)</f>
        <v>18147.5</v>
      </c>
      <c r="K28" s="11">
        <f>OreReserve-SUM($G$6:G28)</f>
        <v>118650</v>
      </c>
      <c r="M28" s="7">
        <v>3</v>
      </c>
      <c r="N28" s="11">
        <f>SUMIF($B$6:$B$125,M28,$H$6:$H$125)</f>
        <v>11900</v>
      </c>
      <c r="O28" s="11">
        <f>INDEX('الخطة الفنية والإنتاج'!$D$18:$M$18,M28)</f>
        <v>11900</v>
      </c>
      <c r="P28" s="11">
        <f>N28-O28</f>
        <v>0</v>
      </c>
    </row>
    <row r="29">
      <c r="A29" s="51">
        <f>EDATE($N$21,C29-1)</f>
        <v>47362</v>
      </c>
      <c r="B29" s="7">
        <f>INT((C29-1)/12)+1</f>
        <v>2</v>
      </c>
      <c r="C29" s="7">
        <v>24</v>
      </c>
      <c r="D29" s="11">
        <f>INDEX($N$6:$N$17,MONTH(A29))</f>
        <v>25</v>
      </c>
      <c r="E29" s="17">
        <f>INDEX('الخطة الفنية والإنتاج'!$D$15:$M$15,B29)</f>
        <v>0.9</v>
      </c>
      <c r="F29" s="11">
        <f>IF($N$18&gt;0,INDEX('الخطة الفنية والإنتاج'!$D$16:$M$16,B29)*D29/$N$18,0)</f>
        <v>9450</v>
      </c>
      <c r="G29" s="11">
        <f>IF($N$18&gt;0,INDEX('الخطة الفنية والإنتاج'!$D$17:$M$17,B29)*D29/$N$18,0)</f>
        <v>1050</v>
      </c>
      <c r="H29" s="13">
        <f>IF($N$18&gt;0,INDEX('الخطة الفنية والإنتاج'!$D$18:$M$18,B29)*D29/$N$18,0)</f>
        <v>892.5</v>
      </c>
      <c r="I29" s="31">
        <f>IF(D29&gt;0,H29/D29,0)</f>
        <v>35.7</v>
      </c>
      <c r="J29" s="11">
        <f>SUM($H$6:H29)</f>
        <v>19040</v>
      </c>
      <c r="K29" s="11">
        <f>OreReserve-SUM($G$6:G29)</f>
        <v>117600</v>
      </c>
      <c r="M29" s="7">
        <v>4</v>
      </c>
      <c r="N29" s="11">
        <f>SUMIF($B$6:$B$125,M29,$H$6:$H$125)</f>
        <v>11900</v>
      </c>
      <c r="O29" s="11">
        <f>INDEX('الخطة الفنية والإنتاج'!$D$18:$M$18,M29)</f>
        <v>11900</v>
      </c>
      <c r="P29" s="11">
        <f>N29-O29</f>
        <v>0</v>
      </c>
    </row>
    <row r="30">
      <c r="A30" s="51">
        <f>EDATE($N$21,C30-1)</f>
        <v>47392</v>
      </c>
      <c r="B30" s="7">
        <f>INT((C30-1)/12)+1</f>
        <v>3</v>
      </c>
      <c r="C30" s="7">
        <v>25</v>
      </c>
      <c r="D30" s="11">
        <f>INDEX($N$6:$N$17,MONTH(A30))</f>
        <v>25</v>
      </c>
      <c r="E30" s="17">
        <f>INDEX('الخطة الفنية والإنتاج'!$D$15:$M$15,B30)</f>
        <v>1</v>
      </c>
      <c r="F30" s="11">
        <f>IF($N$18&gt;0,INDEX('الخطة الفنية والإنتاج'!$D$16:$M$16,B30)*D30/$N$18,0)</f>
        <v>10500</v>
      </c>
      <c r="G30" s="11">
        <f>IF($N$18&gt;0,INDEX('الخطة الفنية والإنتاج'!$D$17:$M$17,B30)*D30/$N$18,0)</f>
        <v>1166.6666666666665</v>
      </c>
      <c r="H30" s="13">
        <f>IF($N$18&gt;0,INDEX('الخطة الفنية والإنتاج'!$D$18:$M$18,B30)*D30/$N$18,0)</f>
        <v>991.6666666666666</v>
      </c>
      <c r="I30" s="31">
        <f>IF(D30&gt;0,H30/D30,0)</f>
        <v>39.666666666666664</v>
      </c>
      <c r="J30" s="11">
        <f>SUM($H$6:H30)</f>
        <v>20031.666666666668</v>
      </c>
      <c r="K30" s="11">
        <f>OreReserve-SUM($G$6:G30)</f>
        <v>116433.33333333333</v>
      </c>
      <c r="M30" s="7">
        <v>5</v>
      </c>
      <c r="N30" s="11">
        <f>SUMIF($B$6:$B$125,M30,$H$6:$H$125)</f>
        <v>11900</v>
      </c>
      <c r="O30" s="11">
        <f>INDEX('الخطة الفنية والإنتاج'!$D$18:$M$18,M30)</f>
        <v>11900</v>
      </c>
      <c r="P30" s="11">
        <f>N30-O30</f>
        <v>0</v>
      </c>
    </row>
    <row r="31">
      <c r="A31" s="51">
        <f>EDATE($N$21,C31-1)</f>
        <v>47423</v>
      </c>
      <c r="B31" s="7">
        <f>INT((C31-1)/12)+1</f>
        <v>3</v>
      </c>
      <c r="C31" s="7">
        <v>26</v>
      </c>
      <c r="D31" s="11">
        <f>INDEX($N$6:$N$17,MONTH(A31))</f>
        <v>25</v>
      </c>
      <c r="E31" s="17">
        <f>INDEX('الخطة الفنية والإنتاج'!$D$15:$M$15,B31)</f>
        <v>1</v>
      </c>
      <c r="F31" s="11">
        <f>IF($N$18&gt;0,INDEX('الخطة الفنية والإنتاج'!$D$16:$M$16,B31)*D31/$N$18,0)</f>
        <v>10500</v>
      </c>
      <c r="G31" s="11">
        <f>IF($N$18&gt;0,INDEX('الخطة الفنية والإنتاج'!$D$17:$M$17,B31)*D31/$N$18,0)</f>
        <v>1166.6666666666665</v>
      </c>
      <c r="H31" s="13">
        <f>IF($N$18&gt;0,INDEX('الخطة الفنية والإنتاج'!$D$18:$M$18,B31)*D31/$N$18,0)</f>
        <v>991.6666666666666</v>
      </c>
      <c r="I31" s="31">
        <f>IF(D31&gt;0,H31/D31,0)</f>
        <v>39.666666666666664</v>
      </c>
      <c r="J31" s="11">
        <f>SUM($H$6:H31)</f>
        <v>21023.333333333336</v>
      </c>
      <c r="K31" s="11">
        <f>OreReserve-SUM($G$6:G31)</f>
        <v>115266.66666666666</v>
      </c>
      <c r="M31" s="7">
        <v>6</v>
      </c>
      <c r="N31" s="11">
        <f>SUMIF($B$6:$B$125,M31,$H$6:$H$125)</f>
        <v>11900</v>
      </c>
      <c r="O31" s="11">
        <f>INDEX('الخطة الفنية والإنتاج'!$D$18:$M$18,M31)</f>
        <v>11900</v>
      </c>
      <c r="P31" s="11">
        <f>N31-O31</f>
        <v>0</v>
      </c>
    </row>
    <row r="32">
      <c r="A32" s="51">
        <f>EDATE($N$21,C32-1)</f>
        <v>47453</v>
      </c>
      <c r="B32" s="7">
        <f>INT((C32-1)/12)+1</f>
        <v>3</v>
      </c>
      <c r="C32" s="7">
        <v>27</v>
      </c>
      <c r="D32" s="11">
        <f>INDEX($N$6:$N$17,MONTH(A32))</f>
        <v>25</v>
      </c>
      <c r="E32" s="17">
        <f>INDEX('الخطة الفنية والإنتاج'!$D$15:$M$15,B32)</f>
        <v>1</v>
      </c>
      <c r="F32" s="11">
        <f>IF($N$18&gt;0,INDEX('الخطة الفنية والإنتاج'!$D$16:$M$16,B32)*D32/$N$18,0)</f>
        <v>10500</v>
      </c>
      <c r="G32" s="11">
        <f>IF($N$18&gt;0,INDEX('الخطة الفنية والإنتاج'!$D$17:$M$17,B32)*D32/$N$18,0)</f>
        <v>1166.6666666666665</v>
      </c>
      <c r="H32" s="13">
        <f>IF($N$18&gt;0,INDEX('الخطة الفنية والإنتاج'!$D$18:$M$18,B32)*D32/$N$18,0)</f>
        <v>991.6666666666666</v>
      </c>
      <c r="I32" s="31">
        <f>IF(D32&gt;0,H32/D32,0)</f>
        <v>39.666666666666664</v>
      </c>
      <c r="J32" s="11">
        <f>SUM($H$6:H32)</f>
        <v>22015.000000000004</v>
      </c>
      <c r="K32" s="11">
        <f>OreReserve-SUM($G$6:G32)</f>
        <v>114100</v>
      </c>
      <c r="M32" s="7">
        <v>7</v>
      </c>
      <c r="N32" s="11">
        <f>SUMIF($B$6:$B$125,M32,$H$6:$H$125)</f>
        <v>11900</v>
      </c>
      <c r="O32" s="11">
        <f>INDEX('الخطة الفنية والإنتاج'!$D$18:$M$18,M32)</f>
        <v>11900</v>
      </c>
      <c r="P32" s="11">
        <f>N32-O32</f>
        <v>0</v>
      </c>
    </row>
    <row r="33">
      <c r="A33" s="51">
        <f>EDATE($N$21,C33-1)</f>
        <v>47484</v>
      </c>
      <c r="B33" s="7">
        <f>INT((C33-1)/12)+1</f>
        <v>3</v>
      </c>
      <c r="C33" s="7">
        <v>28</v>
      </c>
      <c r="D33" s="11">
        <f>INDEX($N$6:$N$17,MONTH(A33))</f>
        <v>25</v>
      </c>
      <c r="E33" s="17">
        <f>INDEX('الخطة الفنية والإنتاج'!$D$15:$M$15,B33)</f>
        <v>1</v>
      </c>
      <c r="F33" s="11">
        <f>IF($N$18&gt;0,INDEX('الخطة الفنية والإنتاج'!$D$16:$M$16,B33)*D33/$N$18,0)</f>
        <v>10500</v>
      </c>
      <c r="G33" s="11">
        <f>IF($N$18&gt;0,INDEX('الخطة الفنية والإنتاج'!$D$17:$M$17,B33)*D33/$N$18,0)</f>
        <v>1166.6666666666665</v>
      </c>
      <c r="H33" s="13">
        <f>IF($N$18&gt;0,INDEX('الخطة الفنية والإنتاج'!$D$18:$M$18,B33)*D33/$N$18,0)</f>
        <v>991.6666666666666</v>
      </c>
      <c r="I33" s="31">
        <f>IF(D33&gt;0,H33/D33,0)</f>
        <v>39.666666666666664</v>
      </c>
      <c r="J33" s="11">
        <f>SUM($H$6:H33)</f>
        <v>23006.66666666667</v>
      </c>
      <c r="K33" s="11">
        <f>OreReserve-SUM($G$6:G33)</f>
        <v>112933.33333333333</v>
      </c>
      <c r="M33" s="7">
        <v>8</v>
      </c>
      <c r="N33" s="11">
        <f>SUMIF($B$6:$B$125,M33,$H$6:$H$125)</f>
        <v>11900</v>
      </c>
      <c r="O33" s="11">
        <f>INDEX('الخطة الفنية والإنتاج'!$D$18:$M$18,M33)</f>
        <v>11900</v>
      </c>
      <c r="P33" s="11">
        <f>N33-O33</f>
        <v>0</v>
      </c>
    </row>
    <row r="34">
      <c r="A34" s="51">
        <f>EDATE($N$21,C34-1)</f>
        <v>47515</v>
      </c>
      <c r="B34" s="7">
        <f>INT((C34-1)/12)+1</f>
        <v>3</v>
      </c>
      <c r="C34" s="7">
        <v>29</v>
      </c>
      <c r="D34" s="11">
        <f>INDEX($N$6:$N$17,MONTH(A34))</f>
        <v>25</v>
      </c>
      <c r="E34" s="17">
        <f>INDEX('الخطة الفنية والإنتاج'!$D$15:$M$15,B34)</f>
        <v>1</v>
      </c>
      <c r="F34" s="11">
        <f>IF($N$18&gt;0,INDEX('الخطة الفنية والإنتاج'!$D$16:$M$16,B34)*D34/$N$18,0)</f>
        <v>10500</v>
      </c>
      <c r="G34" s="11">
        <f>IF($N$18&gt;0,INDEX('الخطة الفنية والإنتاج'!$D$17:$M$17,B34)*D34/$N$18,0)</f>
        <v>1166.6666666666665</v>
      </c>
      <c r="H34" s="13">
        <f>IF($N$18&gt;0,INDEX('الخطة الفنية والإنتاج'!$D$18:$M$18,B34)*D34/$N$18,0)</f>
        <v>991.6666666666666</v>
      </c>
      <c r="I34" s="31">
        <f>IF(D34&gt;0,H34/D34,0)</f>
        <v>39.666666666666664</v>
      </c>
      <c r="J34" s="11">
        <f>SUM($H$6:H34)</f>
        <v>23998.33333333334</v>
      </c>
      <c r="K34" s="11">
        <f>OreReserve-SUM($G$6:G34)</f>
        <v>111766.66666666666</v>
      </c>
      <c r="M34" s="7">
        <v>9</v>
      </c>
      <c r="N34" s="11">
        <f>SUMIF($B$6:$B$125,M34,$H$6:$H$125)</f>
        <v>11900</v>
      </c>
      <c r="O34" s="11">
        <f>INDEX('الخطة الفنية والإنتاج'!$D$18:$M$18,M34)</f>
        <v>11900</v>
      </c>
      <c r="P34" s="11">
        <f>N34-O34</f>
        <v>0</v>
      </c>
    </row>
    <row r="35">
      <c r="A35" s="51">
        <f>EDATE($N$21,C35-1)</f>
        <v>47543</v>
      </c>
      <c r="B35" s="7">
        <f>INT((C35-1)/12)+1</f>
        <v>3</v>
      </c>
      <c r="C35" s="7">
        <v>30</v>
      </c>
      <c r="D35" s="11">
        <f>INDEX($N$6:$N$17,MONTH(A35))</f>
        <v>25</v>
      </c>
      <c r="E35" s="17">
        <f>INDEX('الخطة الفنية والإنتاج'!$D$15:$M$15,B35)</f>
        <v>1</v>
      </c>
      <c r="F35" s="11">
        <f>IF($N$18&gt;0,INDEX('الخطة الفنية والإنتاج'!$D$16:$M$16,B35)*D35/$N$18,0)</f>
        <v>10500</v>
      </c>
      <c r="G35" s="11">
        <f>IF($N$18&gt;0,INDEX('الخطة الفنية والإنتاج'!$D$17:$M$17,B35)*D35/$N$18,0)</f>
        <v>1166.6666666666665</v>
      </c>
      <c r="H35" s="13">
        <f>IF($N$18&gt;0,INDEX('الخطة الفنية والإنتاج'!$D$18:$M$18,B35)*D35/$N$18,0)</f>
        <v>991.6666666666666</v>
      </c>
      <c r="I35" s="31">
        <f>IF(D35&gt;0,H35/D35,0)</f>
        <v>39.666666666666664</v>
      </c>
      <c r="J35" s="11">
        <f>SUM($H$6:H35)</f>
        <v>24990.000000000007</v>
      </c>
      <c r="K35" s="11">
        <f>OreReserve-SUM($G$6:G35)</f>
        <v>110600</v>
      </c>
      <c r="M35" s="7">
        <v>10</v>
      </c>
      <c r="N35" s="11">
        <f>SUMIF($B$6:$B$125,M35,$H$6:$H$125)</f>
        <v>11900</v>
      </c>
      <c r="O35" s="11">
        <f>INDEX('الخطة الفنية والإنتاج'!$D$18:$M$18,M35)</f>
        <v>11900</v>
      </c>
      <c r="P35" s="11">
        <f>N35-O35</f>
        <v>0</v>
      </c>
    </row>
    <row r="36">
      <c r="A36" s="51">
        <f>EDATE($N$21,C36-1)</f>
        <v>47574</v>
      </c>
      <c r="B36" s="7">
        <f>INT((C36-1)/12)+1</f>
        <v>3</v>
      </c>
      <c r="C36" s="7">
        <v>31</v>
      </c>
      <c r="D36" s="11">
        <f>INDEX($N$6:$N$17,MONTH(A36))</f>
        <v>25</v>
      </c>
      <c r="E36" s="17">
        <f>INDEX('الخطة الفنية والإنتاج'!$D$15:$M$15,B36)</f>
        <v>1</v>
      </c>
      <c r="F36" s="11">
        <f>IF($N$18&gt;0,INDEX('الخطة الفنية والإنتاج'!$D$16:$M$16,B36)*D36/$N$18,0)</f>
        <v>10500</v>
      </c>
      <c r="G36" s="11">
        <f>IF($N$18&gt;0,INDEX('الخطة الفنية والإنتاج'!$D$17:$M$17,B36)*D36/$N$18,0)</f>
        <v>1166.6666666666665</v>
      </c>
      <c r="H36" s="13">
        <f>IF($N$18&gt;0,INDEX('الخطة الفنية والإنتاج'!$D$18:$M$18,B36)*D36/$N$18,0)</f>
        <v>991.6666666666666</v>
      </c>
      <c r="I36" s="31">
        <f>IF(D36&gt;0,H36/D36,0)</f>
        <v>39.666666666666664</v>
      </c>
      <c r="J36" s="11">
        <f>SUM($H$6:H36)</f>
        <v>25981.666666666675</v>
      </c>
      <c r="K36" s="11">
        <f>OreReserve-SUM($G$6:G36)</f>
        <v>109433.33333333333</v>
      </c>
      <c r="M36" s="32" t="inlineStr">
        <is>
          <t>الإجمالي</t>
        </is>
      </c>
      <c r="N36" s="12">
        <f>SUM(N26:N35)</f>
        <v>114240</v>
      </c>
      <c r="O36" s="12">
        <f>SUM(O26:O35)</f>
        <v>114240</v>
      </c>
      <c r="P36" s="12">
        <f>SUM(P26:P35)</f>
        <v>0</v>
      </c>
    </row>
    <row r="37">
      <c r="A37" s="51">
        <f>EDATE($N$21,C37-1)</f>
        <v>47604</v>
      </c>
      <c r="B37" s="7">
        <f>INT((C37-1)/12)+1</f>
        <v>3</v>
      </c>
      <c r="C37" s="7">
        <v>32</v>
      </c>
      <c r="D37" s="11">
        <f>INDEX($N$6:$N$17,MONTH(A37))</f>
        <v>25</v>
      </c>
      <c r="E37" s="17">
        <f>INDEX('الخطة الفنية والإنتاج'!$D$15:$M$15,B37)</f>
        <v>1</v>
      </c>
      <c r="F37" s="11">
        <f>IF($N$18&gt;0,INDEX('الخطة الفنية والإنتاج'!$D$16:$M$16,B37)*D37/$N$18,0)</f>
        <v>10500</v>
      </c>
      <c r="G37" s="11">
        <f>IF($N$18&gt;0,INDEX('الخطة الفنية والإنتاج'!$D$17:$M$17,B37)*D37/$N$18,0)</f>
        <v>1166.6666666666665</v>
      </c>
      <c r="H37" s="13">
        <f>IF($N$18&gt;0,INDEX('الخطة الفنية والإنتاج'!$D$18:$M$18,B37)*D37/$N$18,0)</f>
        <v>991.6666666666666</v>
      </c>
      <c r="I37" s="31">
        <f>IF(D37&gt;0,H37/D37,0)</f>
        <v>39.666666666666664</v>
      </c>
      <c r="J37" s="11">
        <f>SUM($H$6:H37)</f>
        <v>26973.333333333343</v>
      </c>
      <c r="K37" s="11">
        <f>OreReserve-SUM($G$6:G37)</f>
        <v>108266.66666666666</v>
      </c>
      <c r="M37" s="32" t="inlineStr">
        <is>
          <t>النتيجة</t>
        </is>
      </c>
      <c r="N37" s="22" t="str">
        <f>IF(SUMPRODUCT(ABS(P26:P35))&lt;0.5,"مطابق","يوجد فرق — راجع التوزيع")</f>
        <v>مطابق</v>
      </c>
    </row>
    <row r="38">
      <c r="A38" s="51">
        <f>EDATE($N$21,C38-1)</f>
        <v>47635</v>
      </c>
      <c r="B38" s="7">
        <f>INT((C38-1)/12)+1</f>
        <v>3</v>
      </c>
      <c r="C38" s="7">
        <v>33</v>
      </c>
      <c r="D38" s="11">
        <f>INDEX($N$6:$N$17,MONTH(A38))</f>
        <v>25</v>
      </c>
      <c r="E38" s="17">
        <f>INDEX('الخطة الفنية والإنتاج'!$D$15:$M$15,B38)</f>
        <v>1</v>
      </c>
      <c r="F38" s="11">
        <f>IF($N$18&gt;0,INDEX('الخطة الفنية والإنتاج'!$D$16:$M$16,B38)*D38/$N$18,0)</f>
        <v>10500</v>
      </c>
      <c r="G38" s="11">
        <f>IF($N$18&gt;0,INDEX('الخطة الفنية والإنتاج'!$D$17:$M$17,B38)*D38/$N$18,0)</f>
        <v>1166.6666666666665</v>
      </c>
      <c r="H38" s="13">
        <f>IF($N$18&gt;0,INDEX('الخطة الفنية والإنتاج'!$D$18:$M$18,B38)*D38/$N$18,0)</f>
        <v>991.6666666666666</v>
      </c>
      <c r="I38" s="31">
        <f>IF(D38&gt;0,H38/D38,0)</f>
        <v>39.666666666666664</v>
      </c>
      <c r="J38" s="11">
        <f>SUM($H$6:H38)</f>
        <v>27965.00000000001</v>
      </c>
      <c r="K38" s="11">
        <f>OreReserve-SUM($G$6:G38)</f>
        <v>107100</v>
      </c>
    </row>
    <row r="39">
      <c r="A39" s="51">
        <f>EDATE($N$21,C39-1)</f>
        <v>47665</v>
      </c>
      <c r="B39" s="7">
        <f>INT((C39-1)/12)+1</f>
        <v>3</v>
      </c>
      <c r="C39" s="7">
        <v>34</v>
      </c>
      <c r="D39" s="11">
        <f>INDEX($N$6:$N$17,MONTH(A39))</f>
        <v>25</v>
      </c>
      <c r="E39" s="17">
        <f>INDEX('الخطة الفنية والإنتاج'!$D$15:$M$15,B39)</f>
        <v>1</v>
      </c>
      <c r="F39" s="11">
        <f>IF($N$18&gt;0,INDEX('الخطة الفنية والإنتاج'!$D$16:$M$16,B39)*D39/$N$18,0)</f>
        <v>10500</v>
      </c>
      <c r="G39" s="11">
        <f>IF($N$18&gt;0,INDEX('الخطة الفنية والإنتاج'!$D$17:$M$17,B39)*D39/$N$18,0)</f>
        <v>1166.6666666666665</v>
      </c>
      <c r="H39" s="13">
        <f>IF($N$18&gt;0,INDEX('الخطة الفنية والإنتاج'!$D$18:$M$18,B39)*D39/$N$18,0)</f>
        <v>991.6666666666666</v>
      </c>
      <c r="I39" s="31">
        <f>IF(D39&gt;0,H39/D39,0)</f>
        <v>39.666666666666664</v>
      </c>
      <c r="J39" s="11">
        <f>SUM($H$6:H39)</f>
        <v>28956.66666666668</v>
      </c>
      <c r="K39" s="11">
        <f>OreReserve-SUM($G$6:G39)</f>
        <v>105933.33333333333</v>
      </c>
    </row>
    <row r="40">
      <c r="A40" s="51">
        <f>EDATE($N$21,C40-1)</f>
        <v>47696</v>
      </c>
      <c r="B40" s="7">
        <f>INT((C40-1)/12)+1</f>
        <v>3</v>
      </c>
      <c r="C40" s="7">
        <v>35</v>
      </c>
      <c r="D40" s="11">
        <f>INDEX($N$6:$N$17,MONTH(A40))</f>
        <v>25</v>
      </c>
      <c r="E40" s="17">
        <f>INDEX('الخطة الفنية والإنتاج'!$D$15:$M$15,B40)</f>
        <v>1</v>
      </c>
      <c r="F40" s="11">
        <f>IF($N$18&gt;0,INDEX('الخطة الفنية والإنتاج'!$D$16:$M$16,B40)*D40/$N$18,0)</f>
        <v>10500</v>
      </c>
      <c r="G40" s="11">
        <f>IF($N$18&gt;0,INDEX('الخطة الفنية والإنتاج'!$D$17:$M$17,B40)*D40/$N$18,0)</f>
        <v>1166.6666666666665</v>
      </c>
      <c r="H40" s="13">
        <f>IF($N$18&gt;0,INDEX('الخطة الفنية والإنتاج'!$D$18:$M$18,B40)*D40/$N$18,0)</f>
        <v>991.6666666666666</v>
      </c>
      <c r="I40" s="31">
        <f>IF(D40&gt;0,H40/D40,0)</f>
        <v>39.666666666666664</v>
      </c>
      <c r="J40" s="11">
        <f>SUM($H$6:H40)</f>
        <v>29948.333333333347</v>
      </c>
      <c r="K40" s="11">
        <f>OreReserve-SUM($G$6:G40)</f>
        <v>104766.66666666666</v>
      </c>
    </row>
    <row r="41">
      <c r="A41" s="51">
        <f>EDATE($N$21,C41-1)</f>
        <v>47727</v>
      </c>
      <c r="B41" s="7">
        <f>INT((C41-1)/12)+1</f>
        <v>3</v>
      </c>
      <c r="C41" s="7">
        <v>36</v>
      </c>
      <c r="D41" s="11">
        <f>INDEX($N$6:$N$17,MONTH(A41))</f>
        <v>25</v>
      </c>
      <c r="E41" s="17">
        <f>INDEX('الخطة الفنية والإنتاج'!$D$15:$M$15,B41)</f>
        <v>1</v>
      </c>
      <c r="F41" s="11">
        <f>IF($N$18&gt;0,INDEX('الخطة الفنية والإنتاج'!$D$16:$M$16,B41)*D41/$N$18,0)</f>
        <v>10500</v>
      </c>
      <c r="G41" s="11">
        <f>IF($N$18&gt;0,INDEX('الخطة الفنية والإنتاج'!$D$17:$M$17,B41)*D41/$N$18,0)</f>
        <v>1166.6666666666665</v>
      </c>
      <c r="H41" s="13">
        <f>IF($N$18&gt;0,INDEX('الخطة الفنية والإنتاج'!$D$18:$M$18,B41)*D41/$N$18,0)</f>
        <v>991.6666666666666</v>
      </c>
      <c r="I41" s="31">
        <f>IF(D41&gt;0,H41/D41,0)</f>
        <v>39.666666666666664</v>
      </c>
      <c r="J41" s="11">
        <f>SUM($H$6:H41)</f>
        <v>30940.000000000015</v>
      </c>
      <c r="K41" s="11">
        <f>OreReserve-SUM($G$6:G41)</f>
        <v>103600</v>
      </c>
    </row>
    <row r="42">
      <c r="A42" s="51">
        <f>EDATE($N$21,C42-1)</f>
        <v>47757</v>
      </c>
      <c r="B42" s="7">
        <f>INT((C42-1)/12)+1</f>
        <v>4</v>
      </c>
      <c r="C42" s="7">
        <v>37</v>
      </c>
      <c r="D42" s="11">
        <f>INDEX($N$6:$N$17,MONTH(A42))</f>
        <v>25</v>
      </c>
      <c r="E42" s="17">
        <f>INDEX('الخطة الفنية والإنتاج'!$D$15:$M$15,B42)</f>
        <v>1</v>
      </c>
      <c r="F42" s="11">
        <f>IF($N$18&gt;0,INDEX('الخطة الفنية والإنتاج'!$D$16:$M$16,B42)*D42/$N$18,0)</f>
        <v>10500</v>
      </c>
      <c r="G42" s="11">
        <f>IF($N$18&gt;0,INDEX('الخطة الفنية والإنتاج'!$D$17:$M$17,B42)*D42/$N$18,0)</f>
        <v>1166.6666666666665</v>
      </c>
      <c r="H42" s="13">
        <f>IF($N$18&gt;0,INDEX('الخطة الفنية والإنتاج'!$D$18:$M$18,B42)*D42/$N$18,0)</f>
        <v>991.6666666666666</v>
      </c>
      <c r="I42" s="31">
        <f>IF(D42&gt;0,H42/D42,0)</f>
        <v>39.666666666666664</v>
      </c>
      <c r="J42" s="11">
        <f>SUM($H$6:H42)</f>
        <v>31931.666666666682</v>
      </c>
      <c r="K42" s="11">
        <f>OreReserve-SUM($G$6:G42)</f>
        <v>102433.33333333334</v>
      </c>
    </row>
    <row r="43">
      <c r="A43" s="51">
        <f>EDATE($N$21,C43-1)</f>
        <v>47788</v>
      </c>
      <c r="B43" s="7">
        <f>INT((C43-1)/12)+1</f>
        <v>4</v>
      </c>
      <c r="C43" s="7">
        <v>38</v>
      </c>
      <c r="D43" s="11">
        <f>INDEX($N$6:$N$17,MONTH(A43))</f>
        <v>25</v>
      </c>
      <c r="E43" s="17">
        <f>INDEX('الخطة الفنية والإنتاج'!$D$15:$M$15,B43)</f>
        <v>1</v>
      </c>
      <c r="F43" s="11">
        <f>IF($N$18&gt;0,INDEX('الخطة الفنية والإنتاج'!$D$16:$M$16,B43)*D43/$N$18,0)</f>
        <v>10500</v>
      </c>
      <c r="G43" s="11">
        <f>IF($N$18&gt;0,INDEX('الخطة الفنية والإنتاج'!$D$17:$M$17,B43)*D43/$N$18,0)</f>
        <v>1166.6666666666665</v>
      </c>
      <c r="H43" s="13">
        <f>IF($N$18&gt;0,INDEX('الخطة الفنية والإنتاج'!$D$18:$M$18,B43)*D43/$N$18,0)</f>
        <v>991.6666666666666</v>
      </c>
      <c r="I43" s="31">
        <f>IF(D43&gt;0,H43/D43,0)</f>
        <v>39.666666666666664</v>
      </c>
      <c r="J43" s="11">
        <f>SUM($H$6:H43)</f>
        <v>32923.33333333335</v>
      </c>
      <c r="K43" s="11">
        <f>OreReserve-SUM($G$6:G43)</f>
        <v>101266.66666666667</v>
      </c>
    </row>
    <row r="44">
      <c r="A44" s="51">
        <f>EDATE($N$21,C44-1)</f>
        <v>47818</v>
      </c>
      <c r="B44" s="7">
        <f>INT((C44-1)/12)+1</f>
        <v>4</v>
      </c>
      <c r="C44" s="7">
        <v>39</v>
      </c>
      <c r="D44" s="11">
        <f>INDEX($N$6:$N$17,MONTH(A44))</f>
        <v>25</v>
      </c>
      <c r="E44" s="17">
        <f>INDEX('الخطة الفنية والإنتاج'!$D$15:$M$15,B44)</f>
        <v>1</v>
      </c>
      <c r="F44" s="11">
        <f>IF($N$18&gt;0,INDEX('الخطة الفنية والإنتاج'!$D$16:$M$16,B44)*D44/$N$18,0)</f>
        <v>10500</v>
      </c>
      <c r="G44" s="11">
        <f>IF($N$18&gt;0,INDEX('الخطة الفنية والإنتاج'!$D$17:$M$17,B44)*D44/$N$18,0)</f>
        <v>1166.6666666666665</v>
      </c>
      <c r="H44" s="13">
        <f>IF($N$18&gt;0,INDEX('الخطة الفنية والإنتاج'!$D$18:$M$18,B44)*D44/$N$18,0)</f>
        <v>991.6666666666666</v>
      </c>
      <c r="I44" s="31">
        <f>IF(D44&gt;0,H44/D44,0)</f>
        <v>39.666666666666664</v>
      </c>
      <c r="J44" s="11">
        <f>SUM($H$6:H44)</f>
        <v>33915.000000000015</v>
      </c>
      <c r="K44" s="11">
        <f>OreReserve-SUM($G$6:G44)</f>
        <v>100100</v>
      </c>
    </row>
    <row r="45">
      <c r="A45" s="51">
        <f>EDATE($N$21,C45-1)</f>
        <v>47849</v>
      </c>
      <c r="B45" s="7">
        <f>INT((C45-1)/12)+1</f>
        <v>4</v>
      </c>
      <c r="C45" s="7">
        <v>40</v>
      </c>
      <c r="D45" s="11">
        <f>INDEX($N$6:$N$17,MONTH(A45))</f>
        <v>25</v>
      </c>
      <c r="E45" s="17">
        <f>INDEX('الخطة الفنية والإنتاج'!$D$15:$M$15,B45)</f>
        <v>1</v>
      </c>
      <c r="F45" s="11">
        <f>IF($N$18&gt;0,INDEX('الخطة الفنية والإنتاج'!$D$16:$M$16,B45)*D45/$N$18,0)</f>
        <v>10500</v>
      </c>
      <c r="G45" s="11">
        <f>IF($N$18&gt;0,INDEX('الخطة الفنية والإنتاج'!$D$17:$M$17,B45)*D45/$N$18,0)</f>
        <v>1166.6666666666665</v>
      </c>
      <c r="H45" s="13">
        <f>IF($N$18&gt;0,INDEX('الخطة الفنية والإنتاج'!$D$18:$M$18,B45)*D45/$N$18,0)</f>
        <v>991.6666666666666</v>
      </c>
      <c r="I45" s="31">
        <f>IF(D45&gt;0,H45/D45,0)</f>
        <v>39.666666666666664</v>
      </c>
      <c r="J45" s="11">
        <f>SUM($H$6:H45)</f>
        <v>34906.66666666668</v>
      </c>
      <c r="K45" s="11">
        <f>OreReserve-SUM($G$6:G45)</f>
        <v>98933.33333333334</v>
      </c>
    </row>
    <row r="46">
      <c r="A46" s="51">
        <f>EDATE($N$21,C46-1)</f>
        <v>47880</v>
      </c>
      <c r="B46" s="7">
        <f>INT((C46-1)/12)+1</f>
        <v>4</v>
      </c>
      <c r="C46" s="7">
        <v>41</v>
      </c>
      <c r="D46" s="11">
        <f>INDEX($N$6:$N$17,MONTH(A46))</f>
        <v>25</v>
      </c>
      <c r="E46" s="17">
        <f>INDEX('الخطة الفنية والإنتاج'!$D$15:$M$15,B46)</f>
        <v>1</v>
      </c>
      <c r="F46" s="11">
        <f>IF($N$18&gt;0,INDEX('الخطة الفنية والإنتاج'!$D$16:$M$16,B46)*D46/$N$18,0)</f>
        <v>10500</v>
      </c>
      <c r="G46" s="11">
        <f>IF($N$18&gt;0,INDEX('الخطة الفنية والإنتاج'!$D$17:$M$17,B46)*D46/$N$18,0)</f>
        <v>1166.6666666666665</v>
      </c>
      <c r="H46" s="13">
        <f>IF($N$18&gt;0,INDEX('الخطة الفنية والإنتاج'!$D$18:$M$18,B46)*D46/$N$18,0)</f>
        <v>991.6666666666666</v>
      </c>
      <c r="I46" s="31">
        <f>IF(D46&gt;0,H46/D46,0)</f>
        <v>39.666666666666664</v>
      </c>
      <c r="J46" s="11">
        <f>SUM($H$6:H46)</f>
        <v>35898.33333333334</v>
      </c>
      <c r="K46" s="11">
        <f>OreReserve-SUM($G$6:G46)</f>
        <v>97766.66666666669</v>
      </c>
    </row>
    <row r="47">
      <c r="A47" s="51">
        <f>EDATE($N$21,C47-1)</f>
        <v>47908</v>
      </c>
      <c r="B47" s="7">
        <f>INT((C47-1)/12)+1</f>
        <v>4</v>
      </c>
      <c r="C47" s="7">
        <v>42</v>
      </c>
      <c r="D47" s="11">
        <f>INDEX($N$6:$N$17,MONTH(A47))</f>
        <v>25</v>
      </c>
      <c r="E47" s="17">
        <f>INDEX('الخطة الفنية والإنتاج'!$D$15:$M$15,B47)</f>
        <v>1</v>
      </c>
      <c r="F47" s="11">
        <f>IF($N$18&gt;0,INDEX('الخطة الفنية والإنتاج'!$D$16:$M$16,B47)*D47/$N$18,0)</f>
        <v>10500</v>
      </c>
      <c r="G47" s="11">
        <f>IF($N$18&gt;0,INDEX('الخطة الفنية والإنتاج'!$D$17:$M$17,B47)*D47/$N$18,0)</f>
        <v>1166.6666666666665</v>
      </c>
      <c r="H47" s="13">
        <f>IF($N$18&gt;0,INDEX('الخطة الفنية والإنتاج'!$D$18:$M$18,B47)*D47/$N$18,0)</f>
        <v>991.6666666666666</v>
      </c>
      <c r="I47" s="31">
        <f>IF(D47&gt;0,H47/D47,0)</f>
        <v>39.666666666666664</v>
      </c>
      <c r="J47" s="11">
        <f>SUM($H$6:H47)</f>
        <v>36890.00000000001</v>
      </c>
      <c r="K47" s="11">
        <f>OreReserve-SUM($G$6:G47)</f>
        <v>96600.00000000001</v>
      </c>
    </row>
    <row r="48">
      <c r="A48" s="51">
        <f>EDATE($N$21,C48-1)</f>
        <v>47939</v>
      </c>
      <c r="B48" s="7">
        <f>INT((C48-1)/12)+1</f>
        <v>4</v>
      </c>
      <c r="C48" s="7">
        <v>43</v>
      </c>
      <c r="D48" s="11">
        <f>INDEX($N$6:$N$17,MONTH(A48))</f>
        <v>25</v>
      </c>
      <c r="E48" s="17">
        <f>INDEX('الخطة الفنية والإنتاج'!$D$15:$M$15,B48)</f>
        <v>1</v>
      </c>
      <c r="F48" s="11">
        <f>IF($N$18&gt;0,INDEX('الخطة الفنية والإنتاج'!$D$16:$M$16,B48)*D48/$N$18,0)</f>
        <v>10500</v>
      </c>
      <c r="G48" s="11">
        <f>IF($N$18&gt;0,INDEX('الخطة الفنية والإنتاج'!$D$17:$M$17,B48)*D48/$N$18,0)</f>
        <v>1166.6666666666665</v>
      </c>
      <c r="H48" s="13">
        <f>IF($N$18&gt;0,INDEX('الخطة الفنية والإنتاج'!$D$18:$M$18,B48)*D48/$N$18,0)</f>
        <v>991.6666666666666</v>
      </c>
      <c r="I48" s="31">
        <f>IF(D48&gt;0,H48/D48,0)</f>
        <v>39.666666666666664</v>
      </c>
      <c r="J48" s="11">
        <f>SUM($H$6:H48)</f>
        <v>37881.66666666667</v>
      </c>
      <c r="K48" s="11">
        <f>OreReserve-SUM($G$6:G48)</f>
        <v>95433.33333333334</v>
      </c>
    </row>
    <row r="49">
      <c r="A49" s="51">
        <f>EDATE($N$21,C49-1)</f>
        <v>47969</v>
      </c>
      <c r="B49" s="7">
        <f>INT((C49-1)/12)+1</f>
        <v>4</v>
      </c>
      <c r="C49" s="7">
        <v>44</v>
      </c>
      <c r="D49" s="11">
        <f>INDEX($N$6:$N$17,MONTH(A49))</f>
        <v>25</v>
      </c>
      <c r="E49" s="17">
        <f>INDEX('الخطة الفنية والإنتاج'!$D$15:$M$15,B49)</f>
        <v>1</v>
      </c>
      <c r="F49" s="11">
        <f>IF($N$18&gt;0,INDEX('الخطة الفنية والإنتاج'!$D$16:$M$16,B49)*D49/$N$18,0)</f>
        <v>10500</v>
      </c>
      <c r="G49" s="11">
        <f>IF($N$18&gt;0,INDEX('الخطة الفنية والإنتاج'!$D$17:$M$17,B49)*D49/$N$18,0)</f>
        <v>1166.6666666666665</v>
      </c>
      <c r="H49" s="13">
        <f>IF($N$18&gt;0,INDEX('الخطة الفنية والإنتاج'!$D$18:$M$18,B49)*D49/$N$18,0)</f>
        <v>991.6666666666666</v>
      </c>
      <c r="I49" s="31">
        <f>IF(D49&gt;0,H49/D49,0)</f>
        <v>39.666666666666664</v>
      </c>
      <c r="J49" s="11">
        <f>SUM($H$6:H49)</f>
        <v>38873.333333333336</v>
      </c>
      <c r="K49" s="11">
        <f>OreReserve-SUM($G$6:G49)</f>
        <v>94266.66666666669</v>
      </c>
    </row>
    <row r="50">
      <c r="A50" s="51">
        <f>EDATE($N$21,C50-1)</f>
        <v>48000</v>
      </c>
      <c r="B50" s="7">
        <f>INT((C50-1)/12)+1</f>
        <v>4</v>
      </c>
      <c r="C50" s="7">
        <v>45</v>
      </c>
      <c r="D50" s="11">
        <f>INDEX($N$6:$N$17,MONTH(A50))</f>
        <v>25</v>
      </c>
      <c r="E50" s="17">
        <f>INDEX('الخطة الفنية والإنتاج'!$D$15:$M$15,B50)</f>
        <v>1</v>
      </c>
      <c r="F50" s="11">
        <f>IF($N$18&gt;0,INDEX('الخطة الفنية والإنتاج'!$D$16:$M$16,B50)*D50/$N$18,0)</f>
        <v>10500</v>
      </c>
      <c r="G50" s="11">
        <f>IF($N$18&gt;0,INDEX('الخطة الفنية والإنتاج'!$D$17:$M$17,B50)*D50/$N$18,0)</f>
        <v>1166.6666666666665</v>
      </c>
      <c r="H50" s="13">
        <f>IF($N$18&gt;0,INDEX('الخطة الفنية والإنتاج'!$D$18:$M$18,B50)*D50/$N$18,0)</f>
        <v>991.6666666666666</v>
      </c>
      <c r="I50" s="31">
        <f>IF(D50&gt;0,H50/D50,0)</f>
        <v>39.666666666666664</v>
      </c>
      <c r="J50" s="11">
        <f>SUM($H$6:H50)</f>
        <v>39865</v>
      </c>
      <c r="K50" s="11">
        <f>OreReserve-SUM($G$6:G50)</f>
        <v>93100.00000000003</v>
      </c>
    </row>
    <row r="51">
      <c r="A51" s="51">
        <f>EDATE($N$21,C51-1)</f>
        <v>48030</v>
      </c>
      <c r="B51" s="7">
        <f>INT((C51-1)/12)+1</f>
        <v>4</v>
      </c>
      <c r="C51" s="7">
        <v>46</v>
      </c>
      <c r="D51" s="11">
        <f>INDEX($N$6:$N$17,MONTH(A51))</f>
        <v>25</v>
      </c>
      <c r="E51" s="17">
        <f>INDEX('الخطة الفنية والإنتاج'!$D$15:$M$15,B51)</f>
        <v>1</v>
      </c>
      <c r="F51" s="11">
        <f>IF($N$18&gt;0,INDEX('الخطة الفنية والإنتاج'!$D$16:$M$16,B51)*D51/$N$18,0)</f>
        <v>10500</v>
      </c>
      <c r="G51" s="11">
        <f>IF($N$18&gt;0,INDEX('الخطة الفنية والإنتاج'!$D$17:$M$17,B51)*D51/$N$18,0)</f>
        <v>1166.6666666666665</v>
      </c>
      <c r="H51" s="13">
        <f>IF($N$18&gt;0,INDEX('الخطة الفنية والإنتاج'!$D$18:$M$18,B51)*D51/$N$18,0)</f>
        <v>991.6666666666666</v>
      </c>
      <c r="I51" s="31">
        <f>IF(D51&gt;0,H51/D51,0)</f>
        <v>39.666666666666664</v>
      </c>
      <c r="J51" s="11">
        <f>SUM($H$6:H51)</f>
        <v>40856.666666666664</v>
      </c>
      <c r="K51" s="11">
        <f>OreReserve-SUM($G$6:G51)</f>
        <v>91933.33333333336</v>
      </c>
    </row>
    <row r="52">
      <c r="A52" s="51">
        <f>EDATE($N$21,C52-1)</f>
        <v>48061</v>
      </c>
      <c r="B52" s="7">
        <f>INT((C52-1)/12)+1</f>
        <v>4</v>
      </c>
      <c r="C52" s="7">
        <v>47</v>
      </c>
      <c r="D52" s="11">
        <f>INDEX($N$6:$N$17,MONTH(A52))</f>
        <v>25</v>
      </c>
      <c r="E52" s="17">
        <f>INDEX('الخطة الفنية والإنتاج'!$D$15:$M$15,B52)</f>
        <v>1</v>
      </c>
      <c r="F52" s="11">
        <f>IF($N$18&gt;0,INDEX('الخطة الفنية والإنتاج'!$D$16:$M$16,B52)*D52/$N$18,0)</f>
        <v>10500</v>
      </c>
      <c r="G52" s="11">
        <f>IF($N$18&gt;0,INDEX('الخطة الفنية والإنتاج'!$D$17:$M$17,B52)*D52/$N$18,0)</f>
        <v>1166.6666666666665</v>
      </c>
      <c r="H52" s="13">
        <f>IF($N$18&gt;0,INDEX('الخطة الفنية والإنتاج'!$D$18:$M$18,B52)*D52/$N$18,0)</f>
        <v>991.6666666666666</v>
      </c>
      <c r="I52" s="31">
        <f>IF(D52&gt;0,H52/D52,0)</f>
        <v>39.666666666666664</v>
      </c>
      <c r="J52" s="11">
        <f>SUM($H$6:H52)</f>
        <v>41848.33333333333</v>
      </c>
      <c r="K52" s="11">
        <f>OreReserve-SUM($G$6:G52)</f>
        <v>90766.66666666669</v>
      </c>
    </row>
    <row r="53">
      <c r="A53" s="51">
        <f>EDATE($N$21,C53-1)</f>
        <v>48092</v>
      </c>
      <c r="B53" s="7">
        <f>INT((C53-1)/12)+1</f>
        <v>4</v>
      </c>
      <c r="C53" s="7">
        <v>48</v>
      </c>
      <c r="D53" s="11">
        <f>INDEX($N$6:$N$17,MONTH(A53))</f>
        <v>25</v>
      </c>
      <c r="E53" s="17">
        <f>INDEX('الخطة الفنية والإنتاج'!$D$15:$M$15,B53)</f>
        <v>1</v>
      </c>
      <c r="F53" s="11">
        <f>IF($N$18&gt;0,INDEX('الخطة الفنية والإنتاج'!$D$16:$M$16,B53)*D53/$N$18,0)</f>
        <v>10500</v>
      </c>
      <c r="G53" s="11">
        <f>IF($N$18&gt;0,INDEX('الخطة الفنية والإنتاج'!$D$17:$M$17,B53)*D53/$N$18,0)</f>
        <v>1166.6666666666665</v>
      </c>
      <c r="H53" s="13">
        <f>IF($N$18&gt;0,INDEX('الخطة الفنية والإنتاج'!$D$18:$M$18,B53)*D53/$N$18,0)</f>
        <v>991.6666666666666</v>
      </c>
      <c r="I53" s="31">
        <f>IF(D53&gt;0,H53/D53,0)</f>
        <v>39.666666666666664</v>
      </c>
      <c r="J53" s="11">
        <f>SUM($H$6:H53)</f>
        <v>42839.99999999999</v>
      </c>
      <c r="K53" s="11">
        <f>OreReserve-SUM($G$6:G53)</f>
        <v>89600.00000000003</v>
      </c>
    </row>
    <row r="54">
      <c r="A54" s="51">
        <f>EDATE($N$21,C54-1)</f>
        <v>48122</v>
      </c>
      <c r="B54" s="7">
        <f>INT((C54-1)/12)+1</f>
        <v>5</v>
      </c>
      <c r="C54" s="7">
        <v>49</v>
      </c>
      <c r="D54" s="11">
        <f>INDEX($N$6:$N$17,MONTH(A54))</f>
        <v>25</v>
      </c>
      <c r="E54" s="17">
        <f>INDEX('الخطة الفنية والإنتاج'!$D$15:$M$15,B54)</f>
        <v>1</v>
      </c>
      <c r="F54" s="11">
        <f>IF($N$18&gt;0,INDEX('الخطة الفنية والإنتاج'!$D$16:$M$16,B54)*D54/$N$18,0)</f>
        <v>10500</v>
      </c>
      <c r="G54" s="11">
        <f>IF($N$18&gt;0,INDEX('الخطة الفنية والإنتاج'!$D$17:$M$17,B54)*D54/$N$18,0)</f>
        <v>1166.6666666666665</v>
      </c>
      <c r="H54" s="13">
        <f>IF($N$18&gt;0,INDEX('الخطة الفنية والإنتاج'!$D$18:$M$18,B54)*D54/$N$18,0)</f>
        <v>991.6666666666666</v>
      </c>
      <c r="I54" s="31">
        <f>IF(D54&gt;0,H54/D54,0)</f>
        <v>39.666666666666664</v>
      </c>
      <c r="J54" s="11">
        <f>SUM($H$6:H54)</f>
        <v>43831.66666666666</v>
      </c>
      <c r="K54" s="11">
        <f>OreReserve-SUM($G$6:G54)</f>
        <v>88433.33333333337</v>
      </c>
    </row>
    <row r="55">
      <c r="A55" s="51">
        <f>EDATE($N$21,C55-1)</f>
        <v>48153</v>
      </c>
      <c r="B55" s="7">
        <f>INT((C55-1)/12)+1</f>
        <v>5</v>
      </c>
      <c r="C55" s="7">
        <v>50</v>
      </c>
      <c r="D55" s="11">
        <f>INDEX($N$6:$N$17,MONTH(A55))</f>
        <v>25</v>
      </c>
      <c r="E55" s="17">
        <f>INDEX('الخطة الفنية والإنتاج'!$D$15:$M$15,B55)</f>
        <v>1</v>
      </c>
      <c r="F55" s="11">
        <f>IF($N$18&gt;0,INDEX('الخطة الفنية والإنتاج'!$D$16:$M$16,B55)*D55/$N$18,0)</f>
        <v>10500</v>
      </c>
      <c r="G55" s="11">
        <f>IF($N$18&gt;0,INDEX('الخطة الفنية والإنتاج'!$D$17:$M$17,B55)*D55/$N$18,0)</f>
        <v>1166.6666666666665</v>
      </c>
      <c r="H55" s="13">
        <f>IF($N$18&gt;0,INDEX('الخطة الفنية والإنتاج'!$D$18:$M$18,B55)*D55/$N$18,0)</f>
        <v>991.6666666666666</v>
      </c>
      <c r="I55" s="31">
        <f>IF(D55&gt;0,H55/D55,0)</f>
        <v>39.666666666666664</v>
      </c>
      <c r="J55" s="11">
        <f>SUM($H$6:H55)</f>
        <v>44823.33333333332</v>
      </c>
      <c r="K55" s="11">
        <f>OreReserve-SUM($G$6:G55)</f>
        <v>87266.6666666667</v>
      </c>
    </row>
    <row r="56">
      <c r="A56" s="51">
        <f>EDATE($N$21,C56-1)</f>
        <v>48183</v>
      </c>
      <c r="B56" s="7">
        <f>INT((C56-1)/12)+1</f>
        <v>5</v>
      </c>
      <c r="C56" s="7">
        <v>51</v>
      </c>
      <c r="D56" s="11">
        <f>INDEX($N$6:$N$17,MONTH(A56))</f>
        <v>25</v>
      </c>
      <c r="E56" s="17">
        <f>INDEX('الخطة الفنية والإنتاج'!$D$15:$M$15,B56)</f>
        <v>1</v>
      </c>
      <c r="F56" s="11">
        <f>IF($N$18&gt;0,INDEX('الخطة الفنية والإنتاج'!$D$16:$M$16,B56)*D56/$N$18,0)</f>
        <v>10500</v>
      </c>
      <c r="G56" s="11">
        <f>IF($N$18&gt;0,INDEX('الخطة الفنية والإنتاج'!$D$17:$M$17,B56)*D56/$N$18,0)</f>
        <v>1166.6666666666665</v>
      </c>
      <c r="H56" s="13">
        <f>IF($N$18&gt;0,INDEX('الخطة الفنية والإنتاج'!$D$18:$M$18,B56)*D56/$N$18,0)</f>
        <v>991.6666666666666</v>
      </c>
      <c r="I56" s="31">
        <f>IF(D56&gt;0,H56/D56,0)</f>
        <v>39.666666666666664</v>
      </c>
      <c r="J56" s="11">
        <f>SUM($H$6:H56)</f>
        <v>45814.999999999985</v>
      </c>
      <c r="K56" s="11">
        <f>OreReserve-SUM($G$6:G56)</f>
        <v>86100.00000000003</v>
      </c>
    </row>
    <row r="57">
      <c r="A57" s="51">
        <f>EDATE($N$21,C57-1)</f>
        <v>48214</v>
      </c>
      <c r="B57" s="7">
        <f>INT((C57-1)/12)+1</f>
        <v>5</v>
      </c>
      <c r="C57" s="7">
        <v>52</v>
      </c>
      <c r="D57" s="11">
        <f>INDEX($N$6:$N$17,MONTH(A57))</f>
        <v>25</v>
      </c>
      <c r="E57" s="17">
        <f>INDEX('الخطة الفنية والإنتاج'!$D$15:$M$15,B57)</f>
        <v>1</v>
      </c>
      <c r="F57" s="11">
        <f>IF($N$18&gt;0,INDEX('الخطة الفنية والإنتاج'!$D$16:$M$16,B57)*D57/$N$18,0)</f>
        <v>10500</v>
      </c>
      <c r="G57" s="11">
        <f>IF($N$18&gt;0,INDEX('الخطة الفنية والإنتاج'!$D$17:$M$17,B57)*D57/$N$18,0)</f>
        <v>1166.6666666666665</v>
      </c>
      <c r="H57" s="13">
        <f>IF($N$18&gt;0,INDEX('الخطة الفنية والإنتاج'!$D$18:$M$18,B57)*D57/$N$18,0)</f>
        <v>991.6666666666666</v>
      </c>
      <c r="I57" s="31">
        <f>IF(D57&gt;0,H57/D57,0)</f>
        <v>39.666666666666664</v>
      </c>
      <c r="J57" s="11">
        <f>SUM($H$6:H57)</f>
        <v>46806.66666666665</v>
      </c>
      <c r="K57" s="11">
        <f>OreReserve-SUM($G$6:G57)</f>
        <v>84933.33333333337</v>
      </c>
    </row>
    <row r="58">
      <c r="A58" s="51">
        <f>EDATE($N$21,C58-1)</f>
        <v>48245</v>
      </c>
      <c r="B58" s="7">
        <f>INT((C58-1)/12)+1</f>
        <v>5</v>
      </c>
      <c r="C58" s="7">
        <v>53</v>
      </c>
      <c r="D58" s="11">
        <f>INDEX($N$6:$N$17,MONTH(A58))</f>
        <v>25</v>
      </c>
      <c r="E58" s="17">
        <f>INDEX('الخطة الفنية والإنتاج'!$D$15:$M$15,B58)</f>
        <v>1</v>
      </c>
      <c r="F58" s="11">
        <f>IF($N$18&gt;0,INDEX('الخطة الفنية والإنتاج'!$D$16:$M$16,B58)*D58/$N$18,0)</f>
        <v>10500</v>
      </c>
      <c r="G58" s="11">
        <f>IF($N$18&gt;0,INDEX('الخطة الفنية والإنتاج'!$D$17:$M$17,B58)*D58/$N$18,0)</f>
        <v>1166.6666666666665</v>
      </c>
      <c r="H58" s="13">
        <f>IF($N$18&gt;0,INDEX('الخطة الفنية والإنتاج'!$D$18:$M$18,B58)*D58/$N$18,0)</f>
        <v>991.6666666666666</v>
      </c>
      <c r="I58" s="31">
        <f>IF(D58&gt;0,H58/D58,0)</f>
        <v>39.666666666666664</v>
      </c>
      <c r="J58" s="11">
        <f>SUM($H$6:H58)</f>
        <v>47798.333333333314</v>
      </c>
      <c r="K58" s="11">
        <f>OreReserve-SUM($G$6:G58)</f>
        <v>83766.66666666672</v>
      </c>
    </row>
    <row r="59">
      <c r="A59" s="51">
        <f>EDATE($N$21,C59-1)</f>
        <v>48274</v>
      </c>
      <c r="B59" s="7">
        <f>INT((C59-1)/12)+1</f>
        <v>5</v>
      </c>
      <c r="C59" s="7">
        <v>54</v>
      </c>
      <c r="D59" s="11">
        <f>INDEX($N$6:$N$17,MONTH(A59))</f>
        <v>25</v>
      </c>
      <c r="E59" s="17">
        <f>INDEX('الخطة الفنية والإنتاج'!$D$15:$M$15,B59)</f>
        <v>1</v>
      </c>
      <c r="F59" s="11">
        <f>IF($N$18&gt;0,INDEX('الخطة الفنية والإنتاج'!$D$16:$M$16,B59)*D59/$N$18,0)</f>
        <v>10500</v>
      </c>
      <c r="G59" s="11">
        <f>IF($N$18&gt;0,INDEX('الخطة الفنية والإنتاج'!$D$17:$M$17,B59)*D59/$N$18,0)</f>
        <v>1166.6666666666665</v>
      </c>
      <c r="H59" s="13">
        <f>IF($N$18&gt;0,INDEX('الخطة الفنية والإنتاج'!$D$18:$M$18,B59)*D59/$N$18,0)</f>
        <v>991.6666666666666</v>
      </c>
      <c r="I59" s="31">
        <f>IF(D59&gt;0,H59/D59,0)</f>
        <v>39.666666666666664</v>
      </c>
      <c r="J59" s="11">
        <f>SUM($H$6:H59)</f>
        <v>48789.99999999998</v>
      </c>
      <c r="K59" s="11">
        <f>OreReserve-SUM($G$6:G59)</f>
        <v>82600.00000000004</v>
      </c>
    </row>
    <row r="60">
      <c r="A60" s="51">
        <f>EDATE($N$21,C60-1)</f>
        <v>48305</v>
      </c>
      <c r="B60" s="7">
        <f>INT((C60-1)/12)+1</f>
        <v>5</v>
      </c>
      <c r="C60" s="7">
        <v>55</v>
      </c>
      <c r="D60" s="11">
        <f>INDEX($N$6:$N$17,MONTH(A60))</f>
        <v>25</v>
      </c>
      <c r="E60" s="17">
        <f>INDEX('الخطة الفنية والإنتاج'!$D$15:$M$15,B60)</f>
        <v>1</v>
      </c>
      <c r="F60" s="11">
        <f>IF($N$18&gt;0,INDEX('الخطة الفنية والإنتاج'!$D$16:$M$16,B60)*D60/$N$18,0)</f>
        <v>10500</v>
      </c>
      <c r="G60" s="11">
        <f>IF($N$18&gt;0,INDEX('الخطة الفنية والإنتاج'!$D$17:$M$17,B60)*D60/$N$18,0)</f>
        <v>1166.6666666666665</v>
      </c>
      <c r="H60" s="13">
        <f>IF($N$18&gt;0,INDEX('الخطة الفنية والإنتاج'!$D$18:$M$18,B60)*D60/$N$18,0)</f>
        <v>991.6666666666666</v>
      </c>
      <c r="I60" s="31">
        <f>IF(D60&gt;0,H60/D60,0)</f>
        <v>39.666666666666664</v>
      </c>
      <c r="J60" s="11">
        <f>SUM($H$6:H60)</f>
        <v>49781.66666666664</v>
      </c>
      <c r="K60" s="11">
        <f>OreReserve-SUM($G$6:G60)</f>
        <v>81433.33333333337</v>
      </c>
    </row>
    <row r="61">
      <c r="A61" s="51">
        <f>EDATE($N$21,C61-1)</f>
        <v>48335</v>
      </c>
      <c r="B61" s="7">
        <f>INT((C61-1)/12)+1</f>
        <v>5</v>
      </c>
      <c r="C61" s="7">
        <v>56</v>
      </c>
      <c r="D61" s="11">
        <f>INDEX($N$6:$N$17,MONTH(A61))</f>
        <v>25</v>
      </c>
      <c r="E61" s="17">
        <f>INDEX('الخطة الفنية والإنتاج'!$D$15:$M$15,B61)</f>
        <v>1</v>
      </c>
      <c r="F61" s="11">
        <f>IF($N$18&gt;0,INDEX('الخطة الفنية والإنتاج'!$D$16:$M$16,B61)*D61/$N$18,0)</f>
        <v>10500</v>
      </c>
      <c r="G61" s="11">
        <f>IF($N$18&gt;0,INDEX('الخطة الفنية والإنتاج'!$D$17:$M$17,B61)*D61/$N$18,0)</f>
        <v>1166.6666666666665</v>
      </c>
      <c r="H61" s="13">
        <f>IF($N$18&gt;0,INDEX('الخطة الفنية والإنتاج'!$D$18:$M$18,B61)*D61/$N$18,0)</f>
        <v>991.6666666666666</v>
      </c>
      <c r="I61" s="31">
        <f>IF(D61&gt;0,H61/D61,0)</f>
        <v>39.666666666666664</v>
      </c>
      <c r="J61" s="11">
        <f>SUM($H$6:H61)</f>
        <v>50773.33333333331</v>
      </c>
      <c r="K61" s="11">
        <f>OreReserve-SUM($G$6:G61)</f>
        <v>80266.66666666672</v>
      </c>
    </row>
    <row r="62">
      <c r="A62" s="51">
        <f>EDATE($N$21,C62-1)</f>
        <v>48366</v>
      </c>
      <c r="B62" s="7">
        <f>INT((C62-1)/12)+1</f>
        <v>5</v>
      </c>
      <c r="C62" s="7">
        <v>57</v>
      </c>
      <c r="D62" s="11">
        <f>INDEX($N$6:$N$17,MONTH(A62))</f>
        <v>25</v>
      </c>
      <c r="E62" s="17">
        <f>INDEX('الخطة الفنية والإنتاج'!$D$15:$M$15,B62)</f>
        <v>1</v>
      </c>
      <c r="F62" s="11">
        <f>IF($N$18&gt;0,INDEX('الخطة الفنية والإنتاج'!$D$16:$M$16,B62)*D62/$N$18,0)</f>
        <v>10500</v>
      </c>
      <c r="G62" s="11">
        <f>IF($N$18&gt;0,INDEX('الخطة الفنية والإنتاج'!$D$17:$M$17,B62)*D62/$N$18,0)</f>
        <v>1166.6666666666665</v>
      </c>
      <c r="H62" s="13">
        <f>IF($N$18&gt;0,INDEX('الخطة الفنية والإنتاج'!$D$18:$M$18,B62)*D62/$N$18,0)</f>
        <v>991.6666666666666</v>
      </c>
      <c r="I62" s="31">
        <f>IF(D62&gt;0,H62/D62,0)</f>
        <v>39.666666666666664</v>
      </c>
      <c r="J62" s="11">
        <f>SUM($H$6:H62)</f>
        <v>51764.99999999997</v>
      </c>
      <c r="K62" s="11">
        <f>OreReserve-SUM($G$6:G62)</f>
        <v>79100.00000000006</v>
      </c>
    </row>
    <row r="63">
      <c r="A63" s="51">
        <f>EDATE($N$21,C63-1)</f>
        <v>48396</v>
      </c>
      <c r="B63" s="7">
        <f>INT((C63-1)/12)+1</f>
        <v>5</v>
      </c>
      <c r="C63" s="7">
        <v>58</v>
      </c>
      <c r="D63" s="11">
        <f>INDEX($N$6:$N$17,MONTH(A63))</f>
        <v>25</v>
      </c>
      <c r="E63" s="17">
        <f>INDEX('الخطة الفنية والإنتاج'!$D$15:$M$15,B63)</f>
        <v>1</v>
      </c>
      <c r="F63" s="11">
        <f>IF($N$18&gt;0,INDEX('الخطة الفنية والإنتاج'!$D$16:$M$16,B63)*D63/$N$18,0)</f>
        <v>10500</v>
      </c>
      <c r="G63" s="11">
        <f>IF($N$18&gt;0,INDEX('الخطة الفنية والإنتاج'!$D$17:$M$17,B63)*D63/$N$18,0)</f>
        <v>1166.6666666666665</v>
      </c>
      <c r="H63" s="13">
        <f>IF($N$18&gt;0,INDEX('الخطة الفنية والإنتاج'!$D$18:$M$18,B63)*D63/$N$18,0)</f>
        <v>991.6666666666666</v>
      </c>
      <c r="I63" s="31">
        <f>IF(D63&gt;0,H63/D63,0)</f>
        <v>39.666666666666664</v>
      </c>
      <c r="J63" s="11">
        <f>SUM($H$6:H63)</f>
        <v>52756.666666666635</v>
      </c>
      <c r="K63" s="11">
        <f>OreReserve-SUM($G$6:G63)</f>
        <v>77933.33333333339</v>
      </c>
    </row>
    <row r="64">
      <c r="A64" s="51">
        <f>EDATE($N$21,C64-1)</f>
        <v>48427</v>
      </c>
      <c r="B64" s="7">
        <f>INT((C64-1)/12)+1</f>
        <v>5</v>
      </c>
      <c r="C64" s="7">
        <v>59</v>
      </c>
      <c r="D64" s="11">
        <f>INDEX($N$6:$N$17,MONTH(A64))</f>
        <v>25</v>
      </c>
      <c r="E64" s="17">
        <f>INDEX('الخطة الفنية والإنتاج'!$D$15:$M$15,B64)</f>
        <v>1</v>
      </c>
      <c r="F64" s="11">
        <f>IF($N$18&gt;0,INDEX('الخطة الفنية والإنتاج'!$D$16:$M$16,B64)*D64/$N$18,0)</f>
        <v>10500</v>
      </c>
      <c r="G64" s="11">
        <f>IF($N$18&gt;0,INDEX('الخطة الفنية والإنتاج'!$D$17:$M$17,B64)*D64/$N$18,0)</f>
        <v>1166.6666666666665</v>
      </c>
      <c r="H64" s="13">
        <f>IF($N$18&gt;0,INDEX('الخطة الفنية والإنتاج'!$D$18:$M$18,B64)*D64/$N$18,0)</f>
        <v>991.6666666666666</v>
      </c>
      <c r="I64" s="31">
        <f>IF(D64&gt;0,H64/D64,0)</f>
        <v>39.666666666666664</v>
      </c>
      <c r="J64" s="11">
        <f>SUM($H$6:H64)</f>
        <v>53748.3333333333</v>
      </c>
      <c r="K64" s="11">
        <f>OreReserve-SUM($G$6:G64)</f>
        <v>76766.66666666672</v>
      </c>
    </row>
    <row r="65">
      <c r="A65" s="51">
        <f>EDATE($N$21,C65-1)</f>
        <v>48458</v>
      </c>
      <c r="B65" s="7">
        <f>INT((C65-1)/12)+1</f>
        <v>5</v>
      </c>
      <c r="C65" s="7">
        <v>60</v>
      </c>
      <c r="D65" s="11">
        <f>INDEX($N$6:$N$17,MONTH(A65))</f>
        <v>25</v>
      </c>
      <c r="E65" s="17">
        <f>INDEX('الخطة الفنية والإنتاج'!$D$15:$M$15,B65)</f>
        <v>1</v>
      </c>
      <c r="F65" s="11">
        <f>IF($N$18&gt;0,INDEX('الخطة الفنية والإنتاج'!$D$16:$M$16,B65)*D65/$N$18,0)</f>
        <v>10500</v>
      </c>
      <c r="G65" s="11">
        <f>IF($N$18&gt;0,INDEX('الخطة الفنية والإنتاج'!$D$17:$M$17,B65)*D65/$N$18,0)</f>
        <v>1166.6666666666665</v>
      </c>
      <c r="H65" s="13">
        <f>IF($N$18&gt;0,INDEX('الخطة الفنية والإنتاج'!$D$18:$M$18,B65)*D65/$N$18,0)</f>
        <v>991.6666666666666</v>
      </c>
      <c r="I65" s="31">
        <f>IF(D65&gt;0,H65/D65,0)</f>
        <v>39.666666666666664</v>
      </c>
      <c r="J65" s="11">
        <f>SUM($H$6:H65)</f>
        <v>54739.99999999996</v>
      </c>
      <c r="K65" s="11">
        <f>OreReserve-SUM($G$6:G65)</f>
        <v>75600.00000000006</v>
      </c>
    </row>
    <row r="66">
      <c r="A66" s="51">
        <f>EDATE($N$21,C66-1)</f>
        <v>48488</v>
      </c>
      <c r="B66" s="7">
        <f>INT((C66-1)/12)+1</f>
        <v>6</v>
      </c>
      <c r="C66" s="7">
        <v>61</v>
      </c>
      <c r="D66" s="11">
        <f>INDEX($N$6:$N$17,MONTH(A66))</f>
        <v>25</v>
      </c>
      <c r="E66" s="17">
        <f>INDEX('الخطة الفنية والإنتاج'!$D$15:$M$15,B66)</f>
        <v>1</v>
      </c>
      <c r="F66" s="11">
        <f>IF($N$18&gt;0,INDEX('الخطة الفنية والإنتاج'!$D$16:$M$16,B66)*D66/$N$18,0)</f>
        <v>10500</v>
      </c>
      <c r="G66" s="11">
        <f>IF($N$18&gt;0,INDEX('الخطة الفنية والإنتاج'!$D$17:$M$17,B66)*D66/$N$18,0)</f>
        <v>1166.6666666666665</v>
      </c>
      <c r="H66" s="13">
        <f>IF($N$18&gt;0,INDEX('الخطة الفنية والإنتاج'!$D$18:$M$18,B66)*D66/$N$18,0)</f>
        <v>991.6666666666666</v>
      </c>
      <c r="I66" s="31">
        <f>IF(D66&gt;0,H66/D66,0)</f>
        <v>39.666666666666664</v>
      </c>
      <c r="J66" s="11">
        <f>SUM($H$6:H66)</f>
        <v>55731.66666666663</v>
      </c>
      <c r="K66" s="11">
        <f>OreReserve-SUM($G$6:G66)</f>
        <v>74433.33333333339</v>
      </c>
    </row>
    <row r="67">
      <c r="A67" s="51">
        <f>EDATE($N$21,C67-1)</f>
        <v>48519</v>
      </c>
      <c r="B67" s="7">
        <f>INT((C67-1)/12)+1</f>
        <v>6</v>
      </c>
      <c r="C67" s="7">
        <v>62</v>
      </c>
      <c r="D67" s="11">
        <f>INDEX($N$6:$N$17,MONTH(A67))</f>
        <v>25</v>
      </c>
      <c r="E67" s="17">
        <f>INDEX('الخطة الفنية والإنتاج'!$D$15:$M$15,B67)</f>
        <v>1</v>
      </c>
      <c r="F67" s="11">
        <f>IF($N$18&gt;0,INDEX('الخطة الفنية والإنتاج'!$D$16:$M$16,B67)*D67/$N$18,0)</f>
        <v>10500</v>
      </c>
      <c r="G67" s="11">
        <f>IF($N$18&gt;0,INDEX('الخطة الفنية والإنتاج'!$D$17:$M$17,B67)*D67/$N$18,0)</f>
        <v>1166.6666666666665</v>
      </c>
      <c r="H67" s="13">
        <f>IF($N$18&gt;0,INDEX('الخطة الفنية والإنتاج'!$D$18:$M$18,B67)*D67/$N$18,0)</f>
        <v>991.6666666666666</v>
      </c>
      <c r="I67" s="31">
        <f>IF(D67&gt;0,H67/D67,0)</f>
        <v>39.666666666666664</v>
      </c>
      <c r="J67" s="11">
        <f>SUM($H$6:H67)</f>
        <v>56723.33333333329</v>
      </c>
      <c r="K67" s="11">
        <f>OreReserve-SUM($G$6:G67)</f>
        <v>73266.66666666672</v>
      </c>
    </row>
    <row r="68">
      <c r="A68" s="51">
        <f>EDATE($N$21,C68-1)</f>
        <v>48549</v>
      </c>
      <c r="B68" s="7">
        <f>INT((C68-1)/12)+1</f>
        <v>6</v>
      </c>
      <c r="C68" s="7">
        <v>63</v>
      </c>
      <c r="D68" s="11">
        <f>INDEX($N$6:$N$17,MONTH(A68))</f>
        <v>25</v>
      </c>
      <c r="E68" s="17">
        <f>INDEX('الخطة الفنية والإنتاج'!$D$15:$M$15,B68)</f>
        <v>1</v>
      </c>
      <c r="F68" s="11">
        <f>IF($N$18&gt;0,INDEX('الخطة الفنية والإنتاج'!$D$16:$M$16,B68)*D68/$N$18,0)</f>
        <v>10500</v>
      </c>
      <c r="G68" s="11">
        <f>IF($N$18&gt;0,INDEX('الخطة الفنية والإنتاج'!$D$17:$M$17,B68)*D68/$N$18,0)</f>
        <v>1166.6666666666665</v>
      </c>
      <c r="H68" s="13">
        <f>IF($N$18&gt;0,INDEX('الخطة الفنية والإنتاج'!$D$18:$M$18,B68)*D68/$N$18,0)</f>
        <v>991.6666666666666</v>
      </c>
      <c r="I68" s="31">
        <f>IF(D68&gt;0,H68/D68,0)</f>
        <v>39.666666666666664</v>
      </c>
      <c r="J68" s="11">
        <f>SUM($H$6:H68)</f>
        <v>57714.999999999956</v>
      </c>
      <c r="K68" s="11">
        <f>OreReserve-SUM($G$6:G68)</f>
        <v>72100.00000000004</v>
      </c>
    </row>
    <row r="69">
      <c r="A69" s="51">
        <f>EDATE($N$21,C69-1)</f>
        <v>48580</v>
      </c>
      <c r="B69" s="7">
        <f>INT((C69-1)/12)+1</f>
        <v>6</v>
      </c>
      <c r="C69" s="7">
        <v>64</v>
      </c>
      <c r="D69" s="11">
        <f>INDEX($N$6:$N$17,MONTH(A69))</f>
        <v>25</v>
      </c>
      <c r="E69" s="17">
        <f>INDEX('الخطة الفنية والإنتاج'!$D$15:$M$15,B69)</f>
        <v>1</v>
      </c>
      <c r="F69" s="11">
        <f>IF($N$18&gt;0,INDEX('الخطة الفنية والإنتاج'!$D$16:$M$16,B69)*D69/$N$18,0)</f>
        <v>10500</v>
      </c>
      <c r="G69" s="11">
        <f>IF($N$18&gt;0,INDEX('الخطة الفنية والإنتاج'!$D$17:$M$17,B69)*D69/$N$18,0)</f>
        <v>1166.6666666666665</v>
      </c>
      <c r="H69" s="13">
        <f>IF($N$18&gt;0,INDEX('الخطة الفنية والإنتاج'!$D$18:$M$18,B69)*D69/$N$18,0)</f>
        <v>991.6666666666666</v>
      </c>
      <c r="I69" s="31">
        <f>IF(D69&gt;0,H69/D69,0)</f>
        <v>39.666666666666664</v>
      </c>
      <c r="J69" s="11">
        <f>SUM($H$6:H69)</f>
        <v>58706.66666666662</v>
      </c>
      <c r="K69" s="11">
        <f>OreReserve-SUM($G$6:G69)</f>
        <v>70933.33333333337</v>
      </c>
    </row>
    <row r="70">
      <c r="A70" s="51">
        <f>EDATE($N$21,C70-1)</f>
        <v>48611</v>
      </c>
      <c r="B70" s="7">
        <f>INT((C70-1)/12)+1</f>
        <v>6</v>
      </c>
      <c r="C70" s="7">
        <v>65</v>
      </c>
      <c r="D70" s="11">
        <f>INDEX($N$6:$N$17,MONTH(A70))</f>
        <v>25</v>
      </c>
      <c r="E70" s="17">
        <f>INDEX('الخطة الفنية والإنتاج'!$D$15:$M$15,B70)</f>
        <v>1</v>
      </c>
      <c r="F70" s="11">
        <f>IF($N$18&gt;0,INDEX('الخطة الفنية والإنتاج'!$D$16:$M$16,B70)*D70/$N$18,0)</f>
        <v>10500</v>
      </c>
      <c r="G70" s="11">
        <f>IF($N$18&gt;0,INDEX('الخطة الفنية والإنتاج'!$D$17:$M$17,B70)*D70/$N$18,0)</f>
        <v>1166.6666666666665</v>
      </c>
      <c r="H70" s="13">
        <f>IF($N$18&gt;0,INDEX('الخطة الفنية والإنتاج'!$D$18:$M$18,B70)*D70/$N$18,0)</f>
        <v>991.6666666666666</v>
      </c>
      <c r="I70" s="31">
        <f>IF(D70&gt;0,H70/D70,0)</f>
        <v>39.666666666666664</v>
      </c>
      <c r="J70" s="11">
        <f>SUM($H$6:H70)</f>
        <v>59698.333333333285</v>
      </c>
      <c r="K70" s="11">
        <f>OreReserve-SUM($G$6:G70)</f>
        <v>69766.6666666667</v>
      </c>
    </row>
    <row r="71">
      <c r="A71" s="51">
        <f>EDATE($N$21,C71-1)</f>
        <v>48639</v>
      </c>
      <c r="B71" s="7">
        <f>INT((C71-1)/12)+1</f>
        <v>6</v>
      </c>
      <c r="C71" s="7">
        <v>66</v>
      </c>
      <c r="D71" s="11">
        <f>INDEX($N$6:$N$17,MONTH(A71))</f>
        <v>25</v>
      </c>
      <c r="E71" s="17">
        <f>INDEX('الخطة الفنية والإنتاج'!$D$15:$M$15,B71)</f>
        <v>1</v>
      </c>
      <c r="F71" s="11">
        <f>IF($N$18&gt;0,INDEX('الخطة الفنية والإنتاج'!$D$16:$M$16,B71)*D71/$N$18,0)</f>
        <v>10500</v>
      </c>
      <c r="G71" s="11">
        <f>IF($N$18&gt;0,INDEX('الخطة الفنية والإنتاج'!$D$17:$M$17,B71)*D71/$N$18,0)</f>
        <v>1166.6666666666665</v>
      </c>
      <c r="H71" s="13">
        <f>IF($N$18&gt;0,INDEX('الخطة الفنية والإنتاج'!$D$18:$M$18,B71)*D71/$N$18,0)</f>
        <v>991.6666666666666</v>
      </c>
      <c r="I71" s="31">
        <f>IF(D71&gt;0,H71/D71,0)</f>
        <v>39.666666666666664</v>
      </c>
      <c r="J71" s="11">
        <f>SUM($H$6:H71)</f>
        <v>60689.99999999995</v>
      </c>
      <c r="K71" s="11">
        <f>OreReserve-SUM($G$6:G71)</f>
        <v>68600.00000000003</v>
      </c>
    </row>
    <row r="72">
      <c r="A72" s="51">
        <f>EDATE($N$21,C72-1)</f>
        <v>48670</v>
      </c>
      <c r="B72" s="7">
        <f>INT((C72-1)/12)+1</f>
        <v>6</v>
      </c>
      <c r="C72" s="7">
        <v>67</v>
      </c>
      <c r="D72" s="11">
        <f>INDEX($N$6:$N$17,MONTH(A72))</f>
        <v>25</v>
      </c>
      <c r="E72" s="17">
        <f>INDEX('الخطة الفنية والإنتاج'!$D$15:$M$15,B72)</f>
        <v>1</v>
      </c>
      <c r="F72" s="11">
        <f>IF($N$18&gt;0,INDEX('الخطة الفنية والإنتاج'!$D$16:$M$16,B72)*D72/$N$18,0)</f>
        <v>10500</v>
      </c>
      <c r="G72" s="11">
        <f>IF($N$18&gt;0,INDEX('الخطة الفنية والإنتاج'!$D$17:$M$17,B72)*D72/$N$18,0)</f>
        <v>1166.6666666666665</v>
      </c>
      <c r="H72" s="13">
        <f>IF($N$18&gt;0,INDEX('الخطة الفنية والإنتاج'!$D$18:$M$18,B72)*D72/$N$18,0)</f>
        <v>991.6666666666666</v>
      </c>
      <c r="I72" s="31">
        <f>IF(D72&gt;0,H72/D72,0)</f>
        <v>39.666666666666664</v>
      </c>
      <c r="J72" s="11">
        <f>SUM($H$6:H72)</f>
        <v>61681.66666666661</v>
      </c>
      <c r="K72" s="11">
        <f>OreReserve-SUM($G$6:G72)</f>
        <v>67433.33333333336</v>
      </c>
    </row>
    <row r="73">
      <c r="A73" s="51">
        <f>EDATE($N$21,C73-1)</f>
        <v>48700</v>
      </c>
      <c r="B73" s="7">
        <f>INT((C73-1)/12)+1</f>
        <v>6</v>
      </c>
      <c r="C73" s="7">
        <v>68</v>
      </c>
      <c r="D73" s="11">
        <f>INDEX($N$6:$N$17,MONTH(A73))</f>
        <v>25</v>
      </c>
      <c r="E73" s="17">
        <f>INDEX('الخطة الفنية والإنتاج'!$D$15:$M$15,B73)</f>
        <v>1</v>
      </c>
      <c r="F73" s="11">
        <f>IF($N$18&gt;0,INDEX('الخطة الفنية والإنتاج'!$D$16:$M$16,B73)*D73/$N$18,0)</f>
        <v>10500</v>
      </c>
      <c r="G73" s="11">
        <f>IF($N$18&gt;0,INDEX('الخطة الفنية والإنتاج'!$D$17:$M$17,B73)*D73/$N$18,0)</f>
        <v>1166.6666666666665</v>
      </c>
      <c r="H73" s="13">
        <f>IF($N$18&gt;0,INDEX('الخطة الفنية والإنتاج'!$D$18:$M$18,B73)*D73/$N$18,0)</f>
        <v>991.6666666666666</v>
      </c>
      <c r="I73" s="31">
        <f>IF(D73&gt;0,H73/D73,0)</f>
        <v>39.666666666666664</v>
      </c>
      <c r="J73" s="11">
        <f>SUM($H$6:H73)</f>
        <v>62673.33333333328</v>
      </c>
      <c r="K73" s="11">
        <f>OreReserve-SUM($G$6:G73)</f>
        <v>66266.66666666669</v>
      </c>
    </row>
    <row r="74">
      <c r="A74" s="51">
        <f>EDATE($N$21,C74-1)</f>
        <v>48731</v>
      </c>
      <c r="B74" s="7">
        <f>INT((C74-1)/12)+1</f>
        <v>6</v>
      </c>
      <c r="C74" s="7">
        <v>69</v>
      </c>
      <c r="D74" s="11">
        <f>INDEX($N$6:$N$17,MONTH(A74))</f>
        <v>25</v>
      </c>
      <c r="E74" s="17">
        <f>INDEX('الخطة الفنية والإنتاج'!$D$15:$M$15,B74)</f>
        <v>1</v>
      </c>
      <c r="F74" s="11">
        <f>IF($N$18&gt;0,INDEX('الخطة الفنية والإنتاج'!$D$16:$M$16,B74)*D74/$N$18,0)</f>
        <v>10500</v>
      </c>
      <c r="G74" s="11">
        <f>IF($N$18&gt;0,INDEX('الخطة الفنية والإنتاج'!$D$17:$M$17,B74)*D74/$N$18,0)</f>
        <v>1166.6666666666665</v>
      </c>
      <c r="H74" s="13">
        <f>IF($N$18&gt;0,INDEX('الخطة الفنية والإنتاج'!$D$18:$M$18,B74)*D74/$N$18,0)</f>
        <v>991.6666666666666</v>
      </c>
      <c r="I74" s="31">
        <f>IF(D74&gt;0,H74/D74,0)</f>
        <v>39.666666666666664</v>
      </c>
      <c r="J74" s="11">
        <f>SUM($H$6:H74)</f>
        <v>63664.99999999994</v>
      </c>
      <c r="K74" s="11">
        <f>OreReserve-SUM($G$6:G74)</f>
        <v>65100.000000000015</v>
      </c>
    </row>
    <row r="75">
      <c r="A75" s="51">
        <f>EDATE($N$21,C75-1)</f>
        <v>48761</v>
      </c>
      <c r="B75" s="7">
        <f>INT((C75-1)/12)+1</f>
        <v>6</v>
      </c>
      <c r="C75" s="7">
        <v>70</v>
      </c>
      <c r="D75" s="11">
        <f>INDEX($N$6:$N$17,MONTH(A75))</f>
        <v>25</v>
      </c>
      <c r="E75" s="17">
        <f>INDEX('الخطة الفنية والإنتاج'!$D$15:$M$15,B75)</f>
        <v>1</v>
      </c>
      <c r="F75" s="11">
        <f>IF($N$18&gt;0,INDEX('الخطة الفنية والإنتاج'!$D$16:$M$16,B75)*D75/$N$18,0)</f>
        <v>10500</v>
      </c>
      <c r="G75" s="11">
        <f>IF($N$18&gt;0,INDEX('الخطة الفنية والإنتاج'!$D$17:$M$17,B75)*D75/$N$18,0)</f>
        <v>1166.6666666666665</v>
      </c>
      <c r="H75" s="13">
        <f>IF($N$18&gt;0,INDEX('الخطة الفنية والإنتاج'!$D$18:$M$18,B75)*D75/$N$18,0)</f>
        <v>991.6666666666666</v>
      </c>
      <c r="I75" s="31">
        <f>IF(D75&gt;0,H75/D75,0)</f>
        <v>39.666666666666664</v>
      </c>
      <c r="J75" s="11">
        <f>SUM($H$6:H75)</f>
        <v>64656.666666666606</v>
      </c>
      <c r="K75" s="11">
        <f>OreReserve-SUM($G$6:G75)</f>
        <v>63933.33333333334</v>
      </c>
    </row>
    <row r="76">
      <c r="A76" s="51">
        <f>EDATE($N$21,C76-1)</f>
        <v>48792</v>
      </c>
      <c r="B76" s="7">
        <f>INT((C76-1)/12)+1</f>
        <v>6</v>
      </c>
      <c r="C76" s="7">
        <v>71</v>
      </c>
      <c r="D76" s="11">
        <f>INDEX($N$6:$N$17,MONTH(A76))</f>
        <v>25</v>
      </c>
      <c r="E76" s="17">
        <f>INDEX('الخطة الفنية والإنتاج'!$D$15:$M$15,B76)</f>
        <v>1</v>
      </c>
      <c r="F76" s="11">
        <f>IF($N$18&gt;0,INDEX('الخطة الفنية والإنتاج'!$D$16:$M$16,B76)*D76/$N$18,0)</f>
        <v>10500</v>
      </c>
      <c r="G76" s="11">
        <f>IF($N$18&gt;0,INDEX('الخطة الفنية والإنتاج'!$D$17:$M$17,B76)*D76/$N$18,0)</f>
        <v>1166.6666666666665</v>
      </c>
      <c r="H76" s="13">
        <f>IF($N$18&gt;0,INDEX('الخطة الفنية والإنتاج'!$D$18:$M$18,B76)*D76/$N$18,0)</f>
        <v>991.6666666666666</v>
      </c>
      <c r="I76" s="31">
        <f>IF(D76&gt;0,H76/D76,0)</f>
        <v>39.666666666666664</v>
      </c>
      <c r="J76" s="11">
        <f>SUM($H$6:H76)</f>
        <v>65648.33333333327</v>
      </c>
      <c r="K76" s="11">
        <f>OreReserve-SUM($G$6:G76)</f>
        <v>62766.66666666667</v>
      </c>
    </row>
    <row r="77">
      <c r="A77" s="51">
        <f>EDATE($N$21,C77-1)</f>
        <v>48823</v>
      </c>
      <c r="B77" s="7">
        <f>INT((C77-1)/12)+1</f>
        <v>6</v>
      </c>
      <c r="C77" s="7">
        <v>72</v>
      </c>
      <c r="D77" s="11">
        <f>INDEX($N$6:$N$17,MONTH(A77))</f>
        <v>25</v>
      </c>
      <c r="E77" s="17">
        <f>INDEX('الخطة الفنية والإنتاج'!$D$15:$M$15,B77)</f>
        <v>1</v>
      </c>
      <c r="F77" s="11">
        <f>IF($N$18&gt;0,INDEX('الخطة الفنية والإنتاج'!$D$16:$M$16,B77)*D77/$N$18,0)</f>
        <v>10500</v>
      </c>
      <c r="G77" s="11">
        <f>IF($N$18&gt;0,INDEX('الخطة الفنية والإنتاج'!$D$17:$M$17,B77)*D77/$N$18,0)</f>
        <v>1166.6666666666665</v>
      </c>
      <c r="H77" s="13">
        <f>IF($N$18&gt;0,INDEX('الخطة الفنية والإنتاج'!$D$18:$M$18,B77)*D77/$N$18,0)</f>
        <v>991.6666666666666</v>
      </c>
      <c r="I77" s="31">
        <f>IF(D77&gt;0,H77/D77,0)</f>
        <v>39.666666666666664</v>
      </c>
      <c r="J77" s="11">
        <f>SUM($H$6:H77)</f>
        <v>66639.99999999994</v>
      </c>
      <c r="K77" s="11">
        <f>OreReserve-SUM($G$6:G77)</f>
        <v>61600</v>
      </c>
    </row>
    <row r="78">
      <c r="A78" s="51">
        <f>EDATE($N$21,C78-1)</f>
        <v>48853</v>
      </c>
      <c r="B78" s="7">
        <f>INT((C78-1)/12)+1</f>
        <v>7</v>
      </c>
      <c r="C78" s="7">
        <v>73</v>
      </c>
      <c r="D78" s="11">
        <f>INDEX($N$6:$N$17,MONTH(A78))</f>
        <v>25</v>
      </c>
      <c r="E78" s="17">
        <f>INDEX('الخطة الفنية والإنتاج'!$D$15:$M$15,B78)</f>
        <v>1</v>
      </c>
      <c r="F78" s="11">
        <f>IF($N$18&gt;0,INDEX('الخطة الفنية والإنتاج'!$D$16:$M$16,B78)*D78/$N$18,0)</f>
        <v>10500</v>
      </c>
      <c r="G78" s="11">
        <f>IF($N$18&gt;0,INDEX('الخطة الفنية والإنتاج'!$D$17:$M$17,B78)*D78/$N$18,0)</f>
        <v>1166.6666666666665</v>
      </c>
      <c r="H78" s="13">
        <f>IF($N$18&gt;0,INDEX('الخطة الفنية والإنتاج'!$D$18:$M$18,B78)*D78/$N$18,0)</f>
        <v>991.6666666666666</v>
      </c>
      <c r="I78" s="31">
        <f>IF(D78&gt;0,H78/D78,0)</f>
        <v>39.666666666666664</v>
      </c>
      <c r="J78" s="11">
        <f>SUM($H$6:H78)</f>
        <v>67631.66666666661</v>
      </c>
      <c r="K78" s="11">
        <f>OreReserve-SUM($G$6:G78)</f>
        <v>60433.33333333333</v>
      </c>
    </row>
    <row r="79">
      <c r="A79" s="51">
        <f>EDATE($N$21,C79-1)</f>
        <v>48884</v>
      </c>
      <c r="B79" s="7">
        <f>INT((C79-1)/12)+1</f>
        <v>7</v>
      </c>
      <c r="C79" s="7">
        <v>74</v>
      </c>
      <c r="D79" s="11">
        <f>INDEX($N$6:$N$17,MONTH(A79))</f>
        <v>25</v>
      </c>
      <c r="E79" s="17">
        <f>INDEX('الخطة الفنية والإنتاج'!$D$15:$M$15,B79)</f>
        <v>1</v>
      </c>
      <c r="F79" s="11">
        <f>IF($N$18&gt;0,INDEX('الخطة الفنية والإنتاج'!$D$16:$M$16,B79)*D79/$N$18,0)</f>
        <v>10500</v>
      </c>
      <c r="G79" s="11">
        <f>IF($N$18&gt;0,INDEX('الخطة الفنية والإنتاج'!$D$17:$M$17,B79)*D79/$N$18,0)</f>
        <v>1166.6666666666665</v>
      </c>
      <c r="H79" s="13">
        <f>IF($N$18&gt;0,INDEX('الخطة الفنية والإنتاج'!$D$18:$M$18,B79)*D79/$N$18,0)</f>
        <v>991.6666666666666</v>
      </c>
      <c r="I79" s="31">
        <f>IF(D79&gt;0,H79/D79,0)</f>
        <v>39.666666666666664</v>
      </c>
      <c r="J79" s="11">
        <f>SUM($H$6:H79)</f>
        <v>68623.33333333328</v>
      </c>
      <c r="K79" s="11">
        <f>OreReserve-SUM($G$6:G79)</f>
        <v>59266.66666666666</v>
      </c>
    </row>
    <row r="80">
      <c r="A80" s="51">
        <f>EDATE($N$21,C80-1)</f>
        <v>48914</v>
      </c>
      <c r="B80" s="7">
        <f>INT((C80-1)/12)+1</f>
        <v>7</v>
      </c>
      <c r="C80" s="7">
        <v>75</v>
      </c>
      <c r="D80" s="11">
        <f>INDEX($N$6:$N$17,MONTH(A80))</f>
        <v>25</v>
      </c>
      <c r="E80" s="17">
        <f>INDEX('الخطة الفنية والإنتاج'!$D$15:$M$15,B80)</f>
        <v>1</v>
      </c>
      <c r="F80" s="11">
        <f>IF($N$18&gt;0,INDEX('الخطة الفنية والإنتاج'!$D$16:$M$16,B80)*D80/$N$18,0)</f>
        <v>10500</v>
      </c>
      <c r="G80" s="11">
        <f>IF($N$18&gt;0,INDEX('الخطة الفنية والإنتاج'!$D$17:$M$17,B80)*D80/$N$18,0)</f>
        <v>1166.6666666666665</v>
      </c>
      <c r="H80" s="13">
        <f>IF($N$18&gt;0,INDEX('الخطة الفنية والإنتاج'!$D$18:$M$18,B80)*D80/$N$18,0)</f>
        <v>991.6666666666666</v>
      </c>
      <c r="I80" s="31">
        <f>IF(D80&gt;0,H80/D80,0)</f>
        <v>39.666666666666664</v>
      </c>
      <c r="J80" s="11">
        <f>SUM($H$6:H80)</f>
        <v>69614.99999999996</v>
      </c>
      <c r="K80" s="11">
        <f>OreReserve-SUM($G$6:G80)</f>
        <v>58099.999999999985</v>
      </c>
    </row>
    <row r="81">
      <c r="A81" s="51">
        <f>EDATE($N$21,C81-1)</f>
        <v>48945</v>
      </c>
      <c r="B81" s="7">
        <f>INT((C81-1)/12)+1</f>
        <v>7</v>
      </c>
      <c r="C81" s="7">
        <v>76</v>
      </c>
      <c r="D81" s="11">
        <f>INDEX($N$6:$N$17,MONTH(A81))</f>
        <v>25</v>
      </c>
      <c r="E81" s="17">
        <f>INDEX('الخطة الفنية والإنتاج'!$D$15:$M$15,B81)</f>
        <v>1</v>
      </c>
      <c r="F81" s="11">
        <f>IF($N$18&gt;0,INDEX('الخطة الفنية والإنتاج'!$D$16:$M$16,B81)*D81/$N$18,0)</f>
        <v>10500</v>
      </c>
      <c r="G81" s="11">
        <f>IF($N$18&gt;0,INDEX('الخطة الفنية والإنتاج'!$D$17:$M$17,B81)*D81/$N$18,0)</f>
        <v>1166.6666666666665</v>
      </c>
      <c r="H81" s="13">
        <f>IF($N$18&gt;0,INDEX('الخطة الفنية والإنتاج'!$D$18:$M$18,B81)*D81/$N$18,0)</f>
        <v>991.6666666666666</v>
      </c>
      <c r="I81" s="31">
        <f>IF(D81&gt;0,H81/D81,0)</f>
        <v>39.666666666666664</v>
      </c>
      <c r="J81" s="11">
        <f>SUM($H$6:H81)</f>
        <v>70606.66666666663</v>
      </c>
      <c r="K81" s="11">
        <f>OreReserve-SUM($G$6:G81)</f>
        <v>56933.333333333314</v>
      </c>
    </row>
    <row r="82">
      <c r="A82" s="51">
        <f>EDATE($N$21,C82-1)</f>
        <v>48976</v>
      </c>
      <c r="B82" s="7">
        <f>INT((C82-1)/12)+1</f>
        <v>7</v>
      </c>
      <c r="C82" s="7">
        <v>77</v>
      </c>
      <c r="D82" s="11">
        <f>INDEX($N$6:$N$17,MONTH(A82))</f>
        <v>25</v>
      </c>
      <c r="E82" s="17">
        <f>INDEX('الخطة الفنية والإنتاج'!$D$15:$M$15,B82)</f>
        <v>1</v>
      </c>
      <c r="F82" s="11">
        <f>IF($N$18&gt;0,INDEX('الخطة الفنية والإنتاج'!$D$16:$M$16,B82)*D82/$N$18,0)</f>
        <v>10500</v>
      </c>
      <c r="G82" s="11">
        <f>IF($N$18&gt;0,INDEX('الخطة الفنية والإنتاج'!$D$17:$M$17,B82)*D82/$N$18,0)</f>
        <v>1166.6666666666665</v>
      </c>
      <c r="H82" s="13">
        <f>IF($N$18&gt;0,INDEX('الخطة الفنية والإنتاج'!$D$18:$M$18,B82)*D82/$N$18,0)</f>
        <v>991.6666666666666</v>
      </c>
      <c r="I82" s="31">
        <f>IF(D82&gt;0,H82/D82,0)</f>
        <v>39.666666666666664</v>
      </c>
      <c r="J82" s="11">
        <f>SUM($H$6:H82)</f>
        <v>71598.3333333333</v>
      </c>
      <c r="K82" s="11">
        <f>OreReserve-SUM($G$6:G82)</f>
        <v>55766.66666666664</v>
      </c>
    </row>
    <row r="83">
      <c r="A83" s="51">
        <f>EDATE($N$21,C83-1)</f>
        <v>49004</v>
      </c>
      <c r="B83" s="7">
        <f>INT((C83-1)/12)+1</f>
        <v>7</v>
      </c>
      <c r="C83" s="7">
        <v>78</v>
      </c>
      <c r="D83" s="11">
        <f>INDEX($N$6:$N$17,MONTH(A83))</f>
        <v>25</v>
      </c>
      <c r="E83" s="17">
        <f>INDEX('الخطة الفنية والإنتاج'!$D$15:$M$15,B83)</f>
        <v>1</v>
      </c>
      <c r="F83" s="11">
        <f>IF($N$18&gt;0,INDEX('الخطة الفنية والإنتاج'!$D$16:$M$16,B83)*D83/$N$18,0)</f>
        <v>10500</v>
      </c>
      <c r="G83" s="11">
        <f>IF($N$18&gt;0,INDEX('الخطة الفنية والإنتاج'!$D$17:$M$17,B83)*D83/$N$18,0)</f>
        <v>1166.6666666666665</v>
      </c>
      <c r="H83" s="13">
        <f>IF($N$18&gt;0,INDEX('الخطة الفنية والإنتاج'!$D$18:$M$18,B83)*D83/$N$18,0)</f>
        <v>991.6666666666666</v>
      </c>
      <c r="I83" s="31">
        <f>IF(D83&gt;0,H83/D83,0)</f>
        <v>39.666666666666664</v>
      </c>
      <c r="J83" s="11">
        <f>SUM($H$6:H83)</f>
        <v>72589.99999999997</v>
      </c>
      <c r="K83" s="11">
        <f>OreReserve-SUM($G$6:G83)</f>
        <v>54599.99999999997</v>
      </c>
    </row>
    <row r="84">
      <c r="A84" s="51">
        <f>EDATE($N$21,C84-1)</f>
        <v>49035</v>
      </c>
      <c r="B84" s="7">
        <f>INT((C84-1)/12)+1</f>
        <v>7</v>
      </c>
      <c r="C84" s="7">
        <v>79</v>
      </c>
      <c r="D84" s="11">
        <f>INDEX($N$6:$N$17,MONTH(A84))</f>
        <v>25</v>
      </c>
      <c r="E84" s="17">
        <f>INDEX('الخطة الفنية والإنتاج'!$D$15:$M$15,B84)</f>
        <v>1</v>
      </c>
      <c r="F84" s="11">
        <f>IF($N$18&gt;0,INDEX('الخطة الفنية والإنتاج'!$D$16:$M$16,B84)*D84/$N$18,0)</f>
        <v>10500</v>
      </c>
      <c r="G84" s="11">
        <f>IF($N$18&gt;0,INDEX('الخطة الفنية والإنتاج'!$D$17:$M$17,B84)*D84/$N$18,0)</f>
        <v>1166.6666666666665</v>
      </c>
      <c r="H84" s="13">
        <f>IF($N$18&gt;0,INDEX('الخطة الفنية والإنتاج'!$D$18:$M$18,B84)*D84/$N$18,0)</f>
        <v>991.6666666666666</v>
      </c>
      <c r="I84" s="31">
        <f>IF(D84&gt;0,H84/D84,0)</f>
        <v>39.666666666666664</v>
      </c>
      <c r="J84" s="11">
        <f>SUM($H$6:H84)</f>
        <v>73581.66666666664</v>
      </c>
      <c r="K84" s="11">
        <f>OreReserve-SUM($G$6:G84)</f>
        <v>53433.3333333333</v>
      </c>
    </row>
    <row r="85">
      <c r="A85" s="51">
        <f>EDATE($N$21,C85-1)</f>
        <v>49065</v>
      </c>
      <c r="B85" s="7">
        <f>INT((C85-1)/12)+1</f>
        <v>7</v>
      </c>
      <c r="C85" s="7">
        <v>80</v>
      </c>
      <c r="D85" s="11">
        <f>INDEX($N$6:$N$17,MONTH(A85))</f>
        <v>25</v>
      </c>
      <c r="E85" s="17">
        <f>INDEX('الخطة الفنية والإنتاج'!$D$15:$M$15,B85)</f>
        <v>1</v>
      </c>
      <c r="F85" s="11">
        <f>IF($N$18&gt;0,INDEX('الخطة الفنية والإنتاج'!$D$16:$M$16,B85)*D85/$N$18,0)</f>
        <v>10500</v>
      </c>
      <c r="G85" s="11">
        <f>IF($N$18&gt;0,INDEX('الخطة الفنية والإنتاج'!$D$17:$M$17,B85)*D85/$N$18,0)</f>
        <v>1166.6666666666665</v>
      </c>
      <c r="H85" s="13">
        <f>IF($N$18&gt;0,INDEX('الخطة الفنية والإنتاج'!$D$18:$M$18,B85)*D85/$N$18,0)</f>
        <v>991.6666666666666</v>
      </c>
      <c r="I85" s="31">
        <f>IF(D85&gt;0,H85/D85,0)</f>
        <v>39.666666666666664</v>
      </c>
      <c r="J85" s="11">
        <f>SUM($H$6:H85)</f>
        <v>74573.33333333331</v>
      </c>
      <c r="K85" s="11">
        <f>OreReserve-SUM($G$6:G85)</f>
        <v>52266.66666666663</v>
      </c>
    </row>
    <row r="86">
      <c r="A86" s="51">
        <f>EDATE($N$21,C86-1)</f>
        <v>49096</v>
      </c>
      <c r="B86" s="7">
        <f>INT((C86-1)/12)+1</f>
        <v>7</v>
      </c>
      <c r="C86" s="7">
        <v>81</v>
      </c>
      <c r="D86" s="11">
        <f>INDEX($N$6:$N$17,MONTH(A86))</f>
        <v>25</v>
      </c>
      <c r="E86" s="17">
        <f>INDEX('الخطة الفنية والإنتاج'!$D$15:$M$15,B86)</f>
        <v>1</v>
      </c>
      <c r="F86" s="11">
        <f>IF($N$18&gt;0,INDEX('الخطة الفنية والإنتاج'!$D$16:$M$16,B86)*D86/$N$18,0)</f>
        <v>10500</v>
      </c>
      <c r="G86" s="11">
        <f>IF($N$18&gt;0,INDEX('الخطة الفنية والإنتاج'!$D$17:$M$17,B86)*D86/$N$18,0)</f>
        <v>1166.6666666666665</v>
      </c>
      <c r="H86" s="13">
        <f>IF($N$18&gt;0,INDEX('الخطة الفنية والإنتاج'!$D$18:$M$18,B86)*D86/$N$18,0)</f>
        <v>991.6666666666666</v>
      </c>
      <c r="I86" s="31">
        <f>IF(D86&gt;0,H86/D86,0)</f>
        <v>39.666666666666664</v>
      </c>
      <c r="J86" s="11">
        <f>SUM($H$6:H86)</f>
        <v>75564.99999999999</v>
      </c>
      <c r="K86" s="11">
        <f>OreReserve-SUM($G$6:G86)</f>
        <v>51099.999999999956</v>
      </c>
    </row>
    <row r="87">
      <c r="A87" s="51">
        <f>EDATE($N$21,C87-1)</f>
        <v>49126</v>
      </c>
      <c r="B87" s="7">
        <f>INT((C87-1)/12)+1</f>
        <v>7</v>
      </c>
      <c r="C87" s="7">
        <v>82</v>
      </c>
      <c r="D87" s="11">
        <f>INDEX($N$6:$N$17,MONTH(A87))</f>
        <v>25</v>
      </c>
      <c r="E87" s="17">
        <f>INDEX('الخطة الفنية والإنتاج'!$D$15:$M$15,B87)</f>
        <v>1</v>
      </c>
      <c r="F87" s="11">
        <f>IF($N$18&gt;0,INDEX('الخطة الفنية والإنتاج'!$D$16:$M$16,B87)*D87/$N$18,0)</f>
        <v>10500</v>
      </c>
      <c r="G87" s="11">
        <f>IF($N$18&gt;0,INDEX('الخطة الفنية والإنتاج'!$D$17:$M$17,B87)*D87/$N$18,0)</f>
        <v>1166.6666666666665</v>
      </c>
      <c r="H87" s="13">
        <f>IF($N$18&gt;0,INDEX('الخطة الفنية والإنتاج'!$D$18:$M$18,B87)*D87/$N$18,0)</f>
        <v>991.6666666666666</v>
      </c>
      <c r="I87" s="31">
        <f>IF(D87&gt;0,H87/D87,0)</f>
        <v>39.666666666666664</v>
      </c>
      <c r="J87" s="11">
        <f>SUM($H$6:H87)</f>
        <v>76556.66666666666</v>
      </c>
      <c r="K87" s="11">
        <f>OreReserve-SUM($G$6:G87)</f>
        <v>49933.333333333285</v>
      </c>
    </row>
    <row r="88">
      <c r="A88" s="51">
        <f>EDATE($N$21,C88-1)</f>
        <v>49157</v>
      </c>
      <c r="B88" s="7">
        <f>INT((C88-1)/12)+1</f>
        <v>7</v>
      </c>
      <c r="C88" s="7">
        <v>83</v>
      </c>
      <c r="D88" s="11">
        <f>INDEX($N$6:$N$17,MONTH(A88))</f>
        <v>25</v>
      </c>
      <c r="E88" s="17">
        <f>INDEX('الخطة الفنية والإنتاج'!$D$15:$M$15,B88)</f>
        <v>1</v>
      </c>
      <c r="F88" s="11">
        <f>IF($N$18&gt;0,INDEX('الخطة الفنية والإنتاج'!$D$16:$M$16,B88)*D88/$N$18,0)</f>
        <v>10500</v>
      </c>
      <c r="G88" s="11">
        <f>IF($N$18&gt;0,INDEX('الخطة الفنية والإنتاج'!$D$17:$M$17,B88)*D88/$N$18,0)</f>
        <v>1166.6666666666665</v>
      </c>
      <c r="H88" s="13">
        <f>IF($N$18&gt;0,INDEX('الخطة الفنية والإنتاج'!$D$18:$M$18,B88)*D88/$N$18,0)</f>
        <v>991.6666666666666</v>
      </c>
      <c r="I88" s="31">
        <f>IF(D88&gt;0,H88/D88,0)</f>
        <v>39.666666666666664</v>
      </c>
      <c r="J88" s="11">
        <f>SUM($H$6:H88)</f>
        <v>77548.33333333333</v>
      </c>
      <c r="K88" s="11">
        <f>OreReserve-SUM($G$6:G88)</f>
        <v>48766.66666666661</v>
      </c>
    </row>
    <row r="89">
      <c r="A89" s="51">
        <f>EDATE($N$21,C89-1)</f>
        <v>49188</v>
      </c>
      <c r="B89" s="7">
        <f>INT((C89-1)/12)+1</f>
        <v>7</v>
      </c>
      <c r="C89" s="7">
        <v>84</v>
      </c>
      <c r="D89" s="11">
        <f>INDEX($N$6:$N$17,MONTH(A89))</f>
        <v>25</v>
      </c>
      <c r="E89" s="17">
        <f>INDEX('الخطة الفنية والإنتاج'!$D$15:$M$15,B89)</f>
        <v>1</v>
      </c>
      <c r="F89" s="11">
        <f>IF($N$18&gt;0,INDEX('الخطة الفنية والإنتاج'!$D$16:$M$16,B89)*D89/$N$18,0)</f>
        <v>10500</v>
      </c>
      <c r="G89" s="11">
        <f>IF($N$18&gt;0,INDEX('الخطة الفنية والإنتاج'!$D$17:$M$17,B89)*D89/$N$18,0)</f>
        <v>1166.6666666666665</v>
      </c>
      <c r="H89" s="13">
        <f>IF($N$18&gt;0,INDEX('الخطة الفنية والإنتاج'!$D$18:$M$18,B89)*D89/$N$18,0)</f>
        <v>991.6666666666666</v>
      </c>
      <c r="I89" s="31">
        <f>IF(D89&gt;0,H89/D89,0)</f>
        <v>39.666666666666664</v>
      </c>
      <c r="J89" s="11">
        <f>SUM($H$6:H89)</f>
        <v>78540</v>
      </c>
      <c r="K89" s="11">
        <f>OreReserve-SUM($G$6:G89)</f>
        <v>47599.99999999994</v>
      </c>
    </row>
    <row r="90">
      <c r="A90" s="51">
        <f>EDATE($N$21,C90-1)</f>
        <v>49218</v>
      </c>
      <c r="B90" s="7">
        <f>INT((C90-1)/12)+1</f>
        <v>8</v>
      </c>
      <c r="C90" s="7">
        <v>85</v>
      </c>
      <c r="D90" s="11">
        <f>INDEX($N$6:$N$17,MONTH(A90))</f>
        <v>25</v>
      </c>
      <c r="E90" s="17">
        <f>INDEX('الخطة الفنية والإنتاج'!$D$15:$M$15,B90)</f>
        <v>1</v>
      </c>
      <c r="F90" s="11">
        <f>IF($N$18&gt;0,INDEX('الخطة الفنية والإنتاج'!$D$16:$M$16,B90)*D90/$N$18,0)</f>
        <v>10500</v>
      </c>
      <c r="G90" s="11">
        <f>IF($N$18&gt;0,INDEX('الخطة الفنية والإنتاج'!$D$17:$M$17,B90)*D90/$N$18,0)</f>
        <v>1166.6666666666665</v>
      </c>
      <c r="H90" s="13">
        <f>IF($N$18&gt;0,INDEX('الخطة الفنية والإنتاج'!$D$18:$M$18,B90)*D90/$N$18,0)</f>
        <v>991.6666666666666</v>
      </c>
      <c r="I90" s="31">
        <f>IF(D90&gt;0,H90/D90,0)</f>
        <v>39.666666666666664</v>
      </c>
      <c r="J90" s="11">
        <f>SUM($H$6:H90)</f>
        <v>79531.66666666667</v>
      </c>
      <c r="K90" s="11">
        <f>OreReserve-SUM($G$6:G90)</f>
        <v>46433.33333333327</v>
      </c>
    </row>
    <row r="91">
      <c r="A91" s="51">
        <f>EDATE($N$21,C91-1)</f>
        <v>49249</v>
      </c>
      <c r="B91" s="7">
        <f>INT((C91-1)/12)+1</f>
        <v>8</v>
      </c>
      <c r="C91" s="7">
        <v>86</v>
      </c>
      <c r="D91" s="11">
        <f>INDEX($N$6:$N$17,MONTH(A91))</f>
        <v>25</v>
      </c>
      <c r="E91" s="17">
        <f>INDEX('الخطة الفنية والإنتاج'!$D$15:$M$15,B91)</f>
        <v>1</v>
      </c>
      <c r="F91" s="11">
        <f>IF($N$18&gt;0,INDEX('الخطة الفنية والإنتاج'!$D$16:$M$16,B91)*D91/$N$18,0)</f>
        <v>10500</v>
      </c>
      <c r="G91" s="11">
        <f>IF($N$18&gt;0,INDEX('الخطة الفنية والإنتاج'!$D$17:$M$17,B91)*D91/$N$18,0)</f>
        <v>1166.6666666666665</v>
      </c>
      <c r="H91" s="13">
        <f>IF($N$18&gt;0,INDEX('الخطة الفنية والإنتاج'!$D$18:$M$18,B91)*D91/$N$18,0)</f>
        <v>991.6666666666666</v>
      </c>
      <c r="I91" s="31">
        <f>IF(D91&gt;0,H91/D91,0)</f>
        <v>39.666666666666664</v>
      </c>
      <c r="J91" s="11">
        <f>SUM($H$6:H91)</f>
        <v>80523.33333333334</v>
      </c>
      <c r="K91" s="11">
        <f>OreReserve-SUM($G$6:G91)</f>
        <v>45266.6666666666</v>
      </c>
    </row>
    <row r="92">
      <c r="A92" s="51">
        <f>EDATE($N$21,C92-1)</f>
        <v>49279</v>
      </c>
      <c r="B92" s="7">
        <f>INT((C92-1)/12)+1</f>
        <v>8</v>
      </c>
      <c r="C92" s="7">
        <v>87</v>
      </c>
      <c r="D92" s="11">
        <f>INDEX($N$6:$N$17,MONTH(A92))</f>
        <v>25</v>
      </c>
      <c r="E92" s="17">
        <f>INDEX('الخطة الفنية والإنتاج'!$D$15:$M$15,B92)</f>
        <v>1</v>
      </c>
      <c r="F92" s="11">
        <f>IF($N$18&gt;0,INDEX('الخطة الفنية والإنتاج'!$D$16:$M$16,B92)*D92/$N$18,0)</f>
        <v>10500</v>
      </c>
      <c r="G92" s="11">
        <f>IF($N$18&gt;0,INDEX('الخطة الفنية والإنتاج'!$D$17:$M$17,B92)*D92/$N$18,0)</f>
        <v>1166.6666666666665</v>
      </c>
      <c r="H92" s="13">
        <f>IF($N$18&gt;0,INDEX('الخطة الفنية والإنتاج'!$D$18:$M$18,B92)*D92/$N$18,0)</f>
        <v>991.6666666666666</v>
      </c>
      <c r="I92" s="31">
        <f>IF(D92&gt;0,H92/D92,0)</f>
        <v>39.666666666666664</v>
      </c>
      <c r="J92" s="11">
        <f>SUM($H$6:H92)</f>
        <v>81515.00000000001</v>
      </c>
      <c r="K92" s="11">
        <f>OreReserve-SUM($G$6:G92)</f>
        <v>44099.99999999993</v>
      </c>
    </row>
    <row r="93">
      <c r="A93" s="51">
        <f>EDATE($N$21,C93-1)</f>
        <v>49310</v>
      </c>
      <c r="B93" s="7">
        <f>INT((C93-1)/12)+1</f>
        <v>8</v>
      </c>
      <c r="C93" s="7">
        <v>88</v>
      </c>
      <c r="D93" s="11">
        <f>INDEX($N$6:$N$17,MONTH(A93))</f>
        <v>25</v>
      </c>
      <c r="E93" s="17">
        <f>INDEX('الخطة الفنية والإنتاج'!$D$15:$M$15,B93)</f>
        <v>1</v>
      </c>
      <c r="F93" s="11">
        <f>IF($N$18&gt;0,INDEX('الخطة الفنية والإنتاج'!$D$16:$M$16,B93)*D93/$N$18,0)</f>
        <v>10500</v>
      </c>
      <c r="G93" s="11">
        <f>IF($N$18&gt;0,INDEX('الخطة الفنية والإنتاج'!$D$17:$M$17,B93)*D93/$N$18,0)</f>
        <v>1166.6666666666665</v>
      </c>
      <c r="H93" s="13">
        <f>IF($N$18&gt;0,INDEX('الخطة الفنية والإنتاج'!$D$18:$M$18,B93)*D93/$N$18,0)</f>
        <v>991.6666666666666</v>
      </c>
      <c r="I93" s="31">
        <f>IF(D93&gt;0,H93/D93,0)</f>
        <v>39.666666666666664</v>
      </c>
      <c r="J93" s="11">
        <f>SUM($H$6:H93)</f>
        <v>82506.66666666669</v>
      </c>
      <c r="K93" s="11">
        <f>OreReserve-SUM($G$6:G93)</f>
        <v>42933.333333333256</v>
      </c>
    </row>
    <row r="94">
      <c r="A94" s="51">
        <f>EDATE($N$21,C94-1)</f>
        <v>49341</v>
      </c>
      <c r="B94" s="7">
        <f>INT((C94-1)/12)+1</f>
        <v>8</v>
      </c>
      <c r="C94" s="7">
        <v>89</v>
      </c>
      <c r="D94" s="11">
        <f>INDEX($N$6:$N$17,MONTH(A94))</f>
        <v>25</v>
      </c>
      <c r="E94" s="17">
        <f>INDEX('الخطة الفنية والإنتاج'!$D$15:$M$15,B94)</f>
        <v>1</v>
      </c>
      <c r="F94" s="11">
        <f>IF($N$18&gt;0,INDEX('الخطة الفنية والإنتاج'!$D$16:$M$16,B94)*D94/$N$18,0)</f>
        <v>10500</v>
      </c>
      <c r="G94" s="11">
        <f>IF($N$18&gt;0,INDEX('الخطة الفنية والإنتاج'!$D$17:$M$17,B94)*D94/$N$18,0)</f>
        <v>1166.6666666666665</v>
      </c>
      <c r="H94" s="13">
        <f>IF($N$18&gt;0,INDEX('الخطة الفنية والإنتاج'!$D$18:$M$18,B94)*D94/$N$18,0)</f>
        <v>991.6666666666666</v>
      </c>
      <c r="I94" s="31">
        <f>IF(D94&gt;0,H94/D94,0)</f>
        <v>39.666666666666664</v>
      </c>
      <c r="J94" s="11">
        <f>SUM($H$6:H94)</f>
        <v>83498.33333333336</v>
      </c>
      <c r="K94" s="11">
        <f>OreReserve-SUM($G$6:G94)</f>
        <v>41766.666666666584</v>
      </c>
    </row>
    <row r="95">
      <c r="A95" s="51">
        <f>EDATE($N$21,C95-1)</f>
        <v>49369</v>
      </c>
      <c r="B95" s="7">
        <f>INT((C95-1)/12)+1</f>
        <v>8</v>
      </c>
      <c r="C95" s="7">
        <v>90</v>
      </c>
      <c r="D95" s="11">
        <f>INDEX($N$6:$N$17,MONTH(A95))</f>
        <v>25</v>
      </c>
      <c r="E95" s="17">
        <f>INDEX('الخطة الفنية والإنتاج'!$D$15:$M$15,B95)</f>
        <v>1</v>
      </c>
      <c r="F95" s="11">
        <f>IF($N$18&gt;0,INDEX('الخطة الفنية والإنتاج'!$D$16:$M$16,B95)*D95/$N$18,0)</f>
        <v>10500</v>
      </c>
      <c r="G95" s="11">
        <f>IF($N$18&gt;0,INDEX('الخطة الفنية والإنتاج'!$D$17:$M$17,B95)*D95/$N$18,0)</f>
        <v>1166.6666666666665</v>
      </c>
      <c r="H95" s="13">
        <f>IF($N$18&gt;0,INDEX('الخطة الفنية والإنتاج'!$D$18:$M$18,B95)*D95/$N$18,0)</f>
        <v>991.6666666666666</v>
      </c>
      <c r="I95" s="31">
        <f>IF(D95&gt;0,H95/D95,0)</f>
        <v>39.666666666666664</v>
      </c>
      <c r="J95" s="11">
        <f>SUM($H$6:H95)</f>
        <v>84490.00000000003</v>
      </c>
      <c r="K95" s="11">
        <f>OreReserve-SUM($G$6:G95)</f>
        <v>40599.99999999991</v>
      </c>
    </row>
    <row r="96">
      <c r="A96" s="51">
        <f>EDATE($N$21,C96-1)</f>
        <v>49400</v>
      </c>
      <c r="B96" s="7">
        <f>INT((C96-1)/12)+1</f>
        <v>8</v>
      </c>
      <c r="C96" s="7">
        <v>91</v>
      </c>
      <c r="D96" s="11">
        <f>INDEX($N$6:$N$17,MONTH(A96))</f>
        <v>25</v>
      </c>
      <c r="E96" s="17">
        <f>INDEX('الخطة الفنية والإنتاج'!$D$15:$M$15,B96)</f>
        <v>1</v>
      </c>
      <c r="F96" s="11">
        <f>IF($N$18&gt;0,INDEX('الخطة الفنية والإنتاج'!$D$16:$M$16,B96)*D96/$N$18,0)</f>
        <v>10500</v>
      </c>
      <c r="G96" s="11">
        <f>IF($N$18&gt;0,INDEX('الخطة الفنية والإنتاج'!$D$17:$M$17,B96)*D96/$N$18,0)</f>
        <v>1166.6666666666665</v>
      </c>
      <c r="H96" s="13">
        <f>IF($N$18&gt;0,INDEX('الخطة الفنية والإنتاج'!$D$18:$M$18,B96)*D96/$N$18,0)</f>
        <v>991.6666666666666</v>
      </c>
      <c r="I96" s="31">
        <f>IF(D96&gt;0,H96/D96,0)</f>
        <v>39.666666666666664</v>
      </c>
      <c r="J96" s="11">
        <f>SUM($H$6:H96)</f>
        <v>85481.6666666667</v>
      </c>
      <c r="K96" s="11">
        <f>OreReserve-SUM($G$6:G96)</f>
        <v>39433.33333333324</v>
      </c>
    </row>
    <row r="97">
      <c r="A97" s="51">
        <f>EDATE($N$21,C97-1)</f>
        <v>49430</v>
      </c>
      <c r="B97" s="7">
        <f>INT((C97-1)/12)+1</f>
        <v>8</v>
      </c>
      <c r="C97" s="7">
        <v>92</v>
      </c>
      <c r="D97" s="11">
        <f>INDEX($N$6:$N$17,MONTH(A97))</f>
        <v>25</v>
      </c>
      <c r="E97" s="17">
        <f>INDEX('الخطة الفنية والإنتاج'!$D$15:$M$15,B97)</f>
        <v>1</v>
      </c>
      <c r="F97" s="11">
        <f>IF($N$18&gt;0,INDEX('الخطة الفنية والإنتاج'!$D$16:$M$16,B97)*D97/$N$18,0)</f>
        <v>10500</v>
      </c>
      <c r="G97" s="11">
        <f>IF($N$18&gt;0,INDEX('الخطة الفنية والإنتاج'!$D$17:$M$17,B97)*D97/$N$18,0)</f>
        <v>1166.6666666666665</v>
      </c>
      <c r="H97" s="13">
        <f>IF($N$18&gt;0,INDEX('الخطة الفنية والإنتاج'!$D$18:$M$18,B97)*D97/$N$18,0)</f>
        <v>991.6666666666666</v>
      </c>
      <c r="I97" s="31">
        <f>IF(D97&gt;0,H97/D97,0)</f>
        <v>39.666666666666664</v>
      </c>
      <c r="J97" s="11">
        <f>SUM($H$6:H97)</f>
        <v>86473.33333333337</v>
      </c>
      <c r="K97" s="11">
        <f>OreReserve-SUM($G$6:G97)</f>
        <v>38266.66666666657</v>
      </c>
    </row>
    <row r="98">
      <c r="A98" s="51">
        <f>EDATE($N$21,C98-1)</f>
        <v>49461</v>
      </c>
      <c r="B98" s="7">
        <f>INT((C98-1)/12)+1</f>
        <v>8</v>
      </c>
      <c r="C98" s="7">
        <v>93</v>
      </c>
      <c r="D98" s="11">
        <f>INDEX($N$6:$N$17,MONTH(A98))</f>
        <v>25</v>
      </c>
      <c r="E98" s="17">
        <f>INDEX('الخطة الفنية والإنتاج'!$D$15:$M$15,B98)</f>
        <v>1</v>
      </c>
      <c r="F98" s="11">
        <f>IF($N$18&gt;0,INDEX('الخطة الفنية والإنتاج'!$D$16:$M$16,B98)*D98/$N$18,0)</f>
        <v>10500</v>
      </c>
      <c r="G98" s="11">
        <f>IF($N$18&gt;0,INDEX('الخطة الفنية والإنتاج'!$D$17:$M$17,B98)*D98/$N$18,0)</f>
        <v>1166.6666666666665</v>
      </c>
      <c r="H98" s="13">
        <f>IF($N$18&gt;0,INDEX('الخطة الفنية والإنتاج'!$D$18:$M$18,B98)*D98/$N$18,0)</f>
        <v>991.6666666666666</v>
      </c>
      <c r="I98" s="31">
        <f>IF(D98&gt;0,H98/D98,0)</f>
        <v>39.666666666666664</v>
      </c>
      <c r="J98" s="11">
        <f>SUM($H$6:H98)</f>
        <v>87465.00000000004</v>
      </c>
      <c r="K98" s="11">
        <f>OreReserve-SUM($G$6:G98)</f>
        <v>37099.9999999999</v>
      </c>
    </row>
    <row r="99">
      <c r="A99" s="51">
        <f>EDATE($N$21,C99-1)</f>
        <v>49491</v>
      </c>
      <c r="B99" s="7">
        <f>INT((C99-1)/12)+1</f>
        <v>8</v>
      </c>
      <c r="C99" s="7">
        <v>94</v>
      </c>
      <c r="D99" s="11">
        <f>INDEX($N$6:$N$17,MONTH(A99))</f>
        <v>25</v>
      </c>
      <c r="E99" s="17">
        <f>INDEX('الخطة الفنية والإنتاج'!$D$15:$M$15,B99)</f>
        <v>1</v>
      </c>
      <c r="F99" s="11">
        <f>IF($N$18&gt;0,INDEX('الخطة الفنية والإنتاج'!$D$16:$M$16,B99)*D99/$N$18,0)</f>
        <v>10500</v>
      </c>
      <c r="G99" s="11">
        <f>IF($N$18&gt;0,INDEX('الخطة الفنية والإنتاج'!$D$17:$M$17,B99)*D99/$N$18,0)</f>
        <v>1166.6666666666665</v>
      </c>
      <c r="H99" s="13">
        <f>IF($N$18&gt;0,INDEX('الخطة الفنية والإنتاج'!$D$18:$M$18,B99)*D99/$N$18,0)</f>
        <v>991.6666666666666</v>
      </c>
      <c r="I99" s="31">
        <f>IF(D99&gt;0,H99/D99,0)</f>
        <v>39.666666666666664</v>
      </c>
      <c r="J99" s="11">
        <f>SUM($H$6:H99)</f>
        <v>88456.66666666672</v>
      </c>
      <c r="K99" s="11">
        <f>OreReserve-SUM($G$6:G99)</f>
        <v>35933.33333333323</v>
      </c>
    </row>
    <row r="100">
      <c r="A100" s="51">
        <f>EDATE($N$21,C100-1)</f>
        <v>49522</v>
      </c>
      <c r="B100" s="7">
        <f>INT((C100-1)/12)+1</f>
        <v>8</v>
      </c>
      <c r="C100" s="7">
        <v>95</v>
      </c>
      <c r="D100" s="11">
        <f>INDEX($N$6:$N$17,MONTH(A100))</f>
        <v>25</v>
      </c>
      <c r="E100" s="17">
        <f>INDEX('الخطة الفنية والإنتاج'!$D$15:$M$15,B100)</f>
        <v>1</v>
      </c>
      <c r="F100" s="11">
        <f>IF($N$18&gt;0,INDEX('الخطة الفنية والإنتاج'!$D$16:$M$16,B100)*D100/$N$18,0)</f>
        <v>10500</v>
      </c>
      <c r="G100" s="11">
        <f>IF($N$18&gt;0,INDEX('الخطة الفنية والإنتاج'!$D$17:$M$17,B100)*D100/$N$18,0)</f>
        <v>1166.6666666666665</v>
      </c>
      <c r="H100" s="13">
        <f>IF($N$18&gt;0,INDEX('الخطة الفنية والإنتاج'!$D$18:$M$18,B100)*D100/$N$18,0)</f>
        <v>991.6666666666666</v>
      </c>
      <c r="I100" s="31">
        <f>IF(D100&gt;0,H100/D100,0)</f>
        <v>39.666666666666664</v>
      </c>
      <c r="J100" s="11">
        <f>SUM($H$6:H100)</f>
        <v>89448.33333333339</v>
      </c>
      <c r="K100" s="11">
        <f>OreReserve-SUM($G$6:G100)</f>
        <v>34766.666666666555</v>
      </c>
    </row>
    <row r="101">
      <c r="A101" s="51">
        <f>EDATE($N$21,C101-1)</f>
        <v>49553</v>
      </c>
      <c r="B101" s="7">
        <f>INT((C101-1)/12)+1</f>
        <v>8</v>
      </c>
      <c r="C101" s="7">
        <v>96</v>
      </c>
      <c r="D101" s="11">
        <f>INDEX($N$6:$N$17,MONTH(A101))</f>
        <v>25</v>
      </c>
      <c r="E101" s="17">
        <f>INDEX('الخطة الفنية والإنتاج'!$D$15:$M$15,B101)</f>
        <v>1</v>
      </c>
      <c r="F101" s="11">
        <f>IF($N$18&gt;0,INDEX('الخطة الفنية والإنتاج'!$D$16:$M$16,B101)*D101/$N$18,0)</f>
        <v>10500</v>
      </c>
      <c r="G101" s="11">
        <f>IF($N$18&gt;0,INDEX('الخطة الفنية والإنتاج'!$D$17:$M$17,B101)*D101/$N$18,0)</f>
        <v>1166.6666666666665</v>
      </c>
      <c r="H101" s="13">
        <f>IF($N$18&gt;0,INDEX('الخطة الفنية والإنتاج'!$D$18:$M$18,B101)*D101/$N$18,0)</f>
        <v>991.6666666666666</v>
      </c>
      <c r="I101" s="31">
        <f>IF(D101&gt;0,H101/D101,0)</f>
        <v>39.666666666666664</v>
      </c>
      <c r="J101" s="11">
        <f>SUM($H$6:H101)</f>
        <v>90440.00000000006</v>
      </c>
      <c r="K101" s="11">
        <f>OreReserve-SUM($G$6:G101)</f>
        <v>33599.99999999988</v>
      </c>
    </row>
    <row r="102">
      <c r="A102" s="51">
        <f>EDATE($N$21,C102-1)</f>
        <v>49583</v>
      </c>
      <c r="B102" s="7">
        <f>INT((C102-1)/12)+1</f>
        <v>9</v>
      </c>
      <c r="C102" s="7">
        <v>97</v>
      </c>
      <c r="D102" s="11">
        <f>INDEX($N$6:$N$17,MONTH(A102))</f>
        <v>25</v>
      </c>
      <c r="E102" s="17">
        <f>INDEX('الخطة الفنية والإنتاج'!$D$15:$M$15,B102)</f>
        <v>1</v>
      </c>
      <c r="F102" s="11">
        <f>IF($N$18&gt;0,INDEX('الخطة الفنية والإنتاج'!$D$16:$M$16,B102)*D102/$N$18,0)</f>
        <v>10500</v>
      </c>
      <c r="G102" s="11">
        <f>IF($N$18&gt;0,INDEX('الخطة الفنية والإنتاج'!$D$17:$M$17,B102)*D102/$N$18,0)</f>
        <v>1166.6666666666665</v>
      </c>
      <c r="H102" s="13">
        <f>IF($N$18&gt;0,INDEX('الخطة الفنية والإنتاج'!$D$18:$M$18,B102)*D102/$N$18,0)</f>
        <v>991.6666666666666</v>
      </c>
      <c r="I102" s="31">
        <f>IF(D102&gt;0,H102/D102,0)</f>
        <v>39.666666666666664</v>
      </c>
      <c r="J102" s="11">
        <f>SUM($H$6:H102)</f>
        <v>91431.66666666673</v>
      </c>
      <c r="K102" s="11">
        <f>OreReserve-SUM($G$6:G102)</f>
        <v>32433.333333333212</v>
      </c>
    </row>
    <row r="103">
      <c r="A103" s="51">
        <f>EDATE($N$21,C103-1)</f>
        <v>49614</v>
      </c>
      <c r="B103" s="7">
        <f>INT((C103-1)/12)+1</f>
        <v>9</v>
      </c>
      <c r="C103" s="7">
        <v>98</v>
      </c>
      <c r="D103" s="11">
        <f>INDEX($N$6:$N$17,MONTH(A103))</f>
        <v>25</v>
      </c>
      <c r="E103" s="17">
        <f>INDEX('الخطة الفنية والإنتاج'!$D$15:$M$15,B103)</f>
        <v>1</v>
      </c>
      <c r="F103" s="11">
        <f>IF($N$18&gt;0,INDEX('الخطة الفنية والإنتاج'!$D$16:$M$16,B103)*D103/$N$18,0)</f>
        <v>10500</v>
      </c>
      <c r="G103" s="11">
        <f>IF($N$18&gt;0,INDEX('الخطة الفنية والإنتاج'!$D$17:$M$17,B103)*D103/$N$18,0)</f>
        <v>1166.6666666666665</v>
      </c>
      <c r="H103" s="13">
        <f>IF($N$18&gt;0,INDEX('الخطة الفنية والإنتاج'!$D$18:$M$18,B103)*D103/$N$18,0)</f>
        <v>991.6666666666666</v>
      </c>
      <c r="I103" s="31">
        <f>IF(D103&gt;0,H103/D103,0)</f>
        <v>39.666666666666664</v>
      </c>
      <c r="J103" s="11">
        <f>SUM($H$6:H103)</f>
        <v>92423.3333333334</v>
      </c>
      <c r="K103" s="11">
        <f>OreReserve-SUM($G$6:G103)</f>
        <v>31266.66666666654</v>
      </c>
    </row>
    <row r="104">
      <c r="A104" s="51">
        <f>EDATE($N$21,C104-1)</f>
        <v>49644</v>
      </c>
      <c r="B104" s="7">
        <f>INT((C104-1)/12)+1</f>
        <v>9</v>
      </c>
      <c r="C104" s="7">
        <v>99</v>
      </c>
      <c r="D104" s="11">
        <f>INDEX($N$6:$N$17,MONTH(A104))</f>
        <v>25</v>
      </c>
      <c r="E104" s="17">
        <f>INDEX('الخطة الفنية والإنتاج'!$D$15:$M$15,B104)</f>
        <v>1</v>
      </c>
      <c r="F104" s="11">
        <f>IF($N$18&gt;0,INDEX('الخطة الفنية والإنتاج'!$D$16:$M$16,B104)*D104/$N$18,0)</f>
        <v>10500</v>
      </c>
      <c r="G104" s="11">
        <f>IF($N$18&gt;0,INDEX('الخطة الفنية والإنتاج'!$D$17:$M$17,B104)*D104/$N$18,0)</f>
        <v>1166.6666666666665</v>
      </c>
      <c r="H104" s="13">
        <f>IF($N$18&gt;0,INDEX('الخطة الفنية والإنتاج'!$D$18:$M$18,B104)*D104/$N$18,0)</f>
        <v>991.6666666666666</v>
      </c>
      <c r="I104" s="31">
        <f>IF(D104&gt;0,H104/D104,0)</f>
        <v>39.666666666666664</v>
      </c>
      <c r="J104" s="11">
        <f>SUM($H$6:H104)</f>
        <v>93415.00000000007</v>
      </c>
      <c r="K104" s="11">
        <f>OreReserve-SUM($G$6:G104)</f>
        <v>30099.99999999987</v>
      </c>
    </row>
    <row r="105">
      <c r="A105" s="51">
        <f>EDATE($N$21,C105-1)</f>
        <v>49675</v>
      </c>
      <c r="B105" s="7">
        <f>INT((C105-1)/12)+1</f>
        <v>9</v>
      </c>
      <c r="C105" s="7">
        <v>100</v>
      </c>
      <c r="D105" s="11">
        <f>INDEX($N$6:$N$17,MONTH(A105))</f>
        <v>25</v>
      </c>
      <c r="E105" s="17">
        <f>INDEX('الخطة الفنية والإنتاج'!$D$15:$M$15,B105)</f>
        <v>1</v>
      </c>
      <c r="F105" s="11">
        <f>IF($N$18&gt;0,INDEX('الخطة الفنية والإنتاج'!$D$16:$M$16,B105)*D105/$N$18,0)</f>
        <v>10500</v>
      </c>
      <c r="G105" s="11">
        <f>IF($N$18&gt;0,INDEX('الخطة الفنية والإنتاج'!$D$17:$M$17,B105)*D105/$N$18,0)</f>
        <v>1166.6666666666665</v>
      </c>
      <c r="H105" s="13">
        <f>IF($N$18&gt;0,INDEX('الخطة الفنية والإنتاج'!$D$18:$M$18,B105)*D105/$N$18,0)</f>
        <v>991.6666666666666</v>
      </c>
      <c r="I105" s="31">
        <f>IF(D105&gt;0,H105/D105,0)</f>
        <v>39.666666666666664</v>
      </c>
      <c r="J105" s="11">
        <f>SUM($H$6:H105)</f>
        <v>94406.66666666674</v>
      </c>
      <c r="K105" s="11">
        <f>OreReserve-SUM($G$6:G105)</f>
        <v>28933.333333333198</v>
      </c>
    </row>
    <row r="106">
      <c r="A106" s="51">
        <f>EDATE($N$21,C106-1)</f>
        <v>49706</v>
      </c>
      <c r="B106" s="7">
        <f>INT((C106-1)/12)+1</f>
        <v>9</v>
      </c>
      <c r="C106" s="7">
        <v>101</v>
      </c>
      <c r="D106" s="11">
        <f>INDEX($N$6:$N$17,MONTH(A106))</f>
        <v>25</v>
      </c>
      <c r="E106" s="17">
        <f>INDEX('الخطة الفنية والإنتاج'!$D$15:$M$15,B106)</f>
        <v>1</v>
      </c>
      <c r="F106" s="11">
        <f>IF($N$18&gt;0,INDEX('الخطة الفنية والإنتاج'!$D$16:$M$16,B106)*D106/$N$18,0)</f>
        <v>10500</v>
      </c>
      <c r="G106" s="11">
        <f>IF($N$18&gt;0,INDEX('الخطة الفنية والإنتاج'!$D$17:$M$17,B106)*D106/$N$18,0)</f>
        <v>1166.6666666666665</v>
      </c>
      <c r="H106" s="13">
        <f>IF($N$18&gt;0,INDEX('الخطة الفنية والإنتاج'!$D$18:$M$18,B106)*D106/$N$18,0)</f>
        <v>991.6666666666666</v>
      </c>
      <c r="I106" s="31">
        <f>IF(D106&gt;0,H106/D106,0)</f>
        <v>39.666666666666664</v>
      </c>
      <c r="J106" s="11">
        <f>SUM($H$6:H106)</f>
        <v>95398.33333333342</v>
      </c>
      <c r="K106" s="11">
        <f>OreReserve-SUM($G$6:G106)</f>
        <v>27766.666666666526</v>
      </c>
    </row>
    <row r="107">
      <c r="A107" s="51">
        <f>EDATE($N$21,C107-1)</f>
        <v>49735</v>
      </c>
      <c r="B107" s="7">
        <f>INT((C107-1)/12)+1</f>
        <v>9</v>
      </c>
      <c r="C107" s="7">
        <v>102</v>
      </c>
      <c r="D107" s="11">
        <f>INDEX($N$6:$N$17,MONTH(A107))</f>
        <v>25</v>
      </c>
      <c r="E107" s="17">
        <f>INDEX('الخطة الفنية والإنتاج'!$D$15:$M$15,B107)</f>
        <v>1</v>
      </c>
      <c r="F107" s="11">
        <f>IF($N$18&gt;0,INDEX('الخطة الفنية والإنتاج'!$D$16:$M$16,B107)*D107/$N$18,0)</f>
        <v>10500</v>
      </c>
      <c r="G107" s="11">
        <f>IF($N$18&gt;0,INDEX('الخطة الفنية والإنتاج'!$D$17:$M$17,B107)*D107/$N$18,0)</f>
        <v>1166.6666666666665</v>
      </c>
      <c r="H107" s="13">
        <f>IF($N$18&gt;0,INDEX('الخطة الفنية والإنتاج'!$D$18:$M$18,B107)*D107/$N$18,0)</f>
        <v>991.6666666666666</v>
      </c>
      <c r="I107" s="31">
        <f>IF(D107&gt;0,H107/D107,0)</f>
        <v>39.666666666666664</v>
      </c>
      <c r="J107" s="11">
        <f>SUM($H$6:H107)</f>
        <v>96390.00000000009</v>
      </c>
      <c r="K107" s="11">
        <f>OreReserve-SUM($G$6:G107)</f>
        <v>26599.999999999854</v>
      </c>
    </row>
    <row r="108">
      <c r="A108" s="51">
        <f>EDATE($N$21,C108-1)</f>
        <v>49766</v>
      </c>
      <c r="B108" s="7">
        <f>INT((C108-1)/12)+1</f>
        <v>9</v>
      </c>
      <c r="C108" s="7">
        <v>103</v>
      </c>
      <c r="D108" s="11">
        <f>INDEX($N$6:$N$17,MONTH(A108))</f>
        <v>25</v>
      </c>
      <c r="E108" s="17">
        <f>INDEX('الخطة الفنية والإنتاج'!$D$15:$M$15,B108)</f>
        <v>1</v>
      </c>
      <c r="F108" s="11">
        <f>IF($N$18&gt;0,INDEX('الخطة الفنية والإنتاج'!$D$16:$M$16,B108)*D108/$N$18,0)</f>
        <v>10500</v>
      </c>
      <c r="G108" s="11">
        <f>IF($N$18&gt;0,INDEX('الخطة الفنية والإنتاج'!$D$17:$M$17,B108)*D108/$N$18,0)</f>
        <v>1166.6666666666665</v>
      </c>
      <c r="H108" s="13">
        <f>IF($N$18&gt;0,INDEX('الخطة الفنية والإنتاج'!$D$18:$M$18,B108)*D108/$N$18,0)</f>
        <v>991.6666666666666</v>
      </c>
      <c r="I108" s="31">
        <f>IF(D108&gt;0,H108/D108,0)</f>
        <v>39.666666666666664</v>
      </c>
      <c r="J108" s="11">
        <f>SUM($H$6:H108)</f>
        <v>97381.66666666676</v>
      </c>
      <c r="K108" s="11">
        <f>OreReserve-SUM($G$6:G108)</f>
        <v>25433.333333333183</v>
      </c>
    </row>
    <row r="109">
      <c r="A109" s="51">
        <f>EDATE($N$21,C109-1)</f>
        <v>49796</v>
      </c>
      <c r="B109" s="7">
        <f>INT((C109-1)/12)+1</f>
        <v>9</v>
      </c>
      <c r="C109" s="7">
        <v>104</v>
      </c>
      <c r="D109" s="11">
        <f>INDEX($N$6:$N$17,MONTH(A109))</f>
        <v>25</v>
      </c>
      <c r="E109" s="17">
        <f>INDEX('الخطة الفنية والإنتاج'!$D$15:$M$15,B109)</f>
        <v>1</v>
      </c>
      <c r="F109" s="11">
        <f>IF($N$18&gt;0,INDEX('الخطة الفنية والإنتاج'!$D$16:$M$16,B109)*D109/$N$18,0)</f>
        <v>10500</v>
      </c>
      <c r="G109" s="11">
        <f>IF($N$18&gt;0,INDEX('الخطة الفنية والإنتاج'!$D$17:$M$17,B109)*D109/$N$18,0)</f>
        <v>1166.6666666666665</v>
      </c>
      <c r="H109" s="13">
        <f>IF($N$18&gt;0,INDEX('الخطة الفنية والإنتاج'!$D$18:$M$18,B109)*D109/$N$18,0)</f>
        <v>991.6666666666666</v>
      </c>
      <c r="I109" s="31">
        <f>IF(D109&gt;0,H109/D109,0)</f>
        <v>39.666666666666664</v>
      </c>
      <c r="J109" s="11">
        <f>SUM($H$6:H109)</f>
        <v>98373.33333333343</v>
      </c>
      <c r="K109" s="11">
        <f>OreReserve-SUM($G$6:G109)</f>
        <v>24266.66666666651</v>
      </c>
    </row>
    <row r="110">
      <c r="A110" s="51">
        <f>EDATE($N$21,C110-1)</f>
        <v>49827</v>
      </c>
      <c r="B110" s="7">
        <f>INT((C110-1)/12)+1</f>
        <v>9</v>
      </c>
      <c r="C110" s="7">
        <v>105</v>
      </c>
      <c r="D110" s="11">
        <f>INDEX($N$6:$N$17,MONTH(A110))</f>
        <v>25</v>
      </c>
      <c r="E110" s="17">
        <f>INDEX('الخطة الفنية والإنتاج'!$D$15:$M$15,B110)</f>
        <v>1</v>
      </c>
      <c r="F110" s="11">
        <f>IF($N$18&gt;0,INDEX('الخطة الفنية والإنتاج'!$D$16:$M$16,B110)*D110/$N$18,0)</f>
        <v>10500</v>
      </c>
      <c r="G110" s="11">
        <f>IF($N$18&gt;0,INDEX('الخطة الفنية والإنتاج'!$D$17:$M$17,B110)*D110/$N$18,0)</f>
        <v>1166.6666666666665</v>
      </c>
      <c r="H110" s="13">
        <f>IF($N$18&gt;0,INDEX('الخطة الفنية والإنتاج'!$D$18:$M$18,B110)*D110/$N$18,0)</f>
        <v>991.6666666666666</v>
      </c>
      <c r="I110" s="31">
        <f>IF(D110&gt;0,H110/D110,0)</f>
        <v>39.666666666666664</v>
      </c>
      <c r="J110" s="11">
        <f>SUM($H$6:H110)</f>
        <v>99365.0000000001</v>
      </c>
      <c r="K110" s="11">
        <f>OreReserve-SUM($G$6:G110)</f>
        <v>23099.99999999984</v>
      </c>
    </row>
    <row r="111">
      <c r="A111" s="51">
        <f>EDATE($N$21,C111-1)</f>
        <v>49857</v>
      </c>
      <c r="B111" s="7">
        <f>INT((C111-1)/12)+1</f>
        <v>9</v>
      </c>
      <c r="C111" s="7">
        <v>106</v>
      </c>
      <c r="D111" s="11">
        <f>INDEX($N$6:$N$17,MONTH(A111))</f>
        <v>25</v>
      </c>
      <c r="E111" s="17">
        <f>INDEX('الخطة الفنية والإنتاج'!$D$15:$M$15,B111)</f>
        <v>1</v>
      </c>
      <c r="F111" s="11">
        <f>IF($N$18&gt;0,INDEX('الخطة الفنية والإنتاج'!$D$16:$M$16,B111)*D111/$N$18,0)</f>
        <v>10500</v>
      </c>
      <c r="G111" s="11">
        <f>IF($N$18&gt;0,INDEX('الخطة الفنية والإنتاج'!$D$17:$M$17,B111)*D111/$N$18,0)</f>
        <v>1166.6666666666665</v>
      </c>
      <c r="H111" s="13">
        <f>IF($N$18&gt;0,INDEX('الخطة الفنية والإنتاج'!$D$18:$M$18,B111)*D111/$N$18,0)</f>
        <v>991.6666666666666</v>
      </c>
      <c r="I111" s="31">
        <f>IF(D111&gt;0,H111/D111,0)</f>
        <v>39.666666666666664</v>
      </c>
      <c r="J111" s="11">
        <f>SUM($H$6:H111)</f>
        <v>100356.66666666677</v>
      </c>
      <c r="K111" s="11">
        <f>OreReserve-SUM($G$6:G111)</f>
        <v>21933.33333333317</v>
      </c>
    </row>
    <row r="112">
      <c r="A112" s="51">
        <f>EDATE($N$21,C112-1)</f>
        <v>49888</v>
      </c>
      <c r="B112" s="7">
        <f>INT((C112-1)/12)+1</f>
        <v>9</v>
      </c>
      <c r="C112" s="7">
        <v>107</v>
      </c>
      <c r="D112" s="11">
        <f>INDEX($N$6:$N$17,MONTH(A112))</f>
        <v>25</v>
      </c>
      <c r="E112" s="17">
        <f>INDEX('الخطة الفنية والإنتاج'!$D$15:$M$15,B112)</f>
        <v>1</v>
      </c>
      <c r="F112" s="11">
        <f>IF($N$18&gt;0,INDEX('الخطة الفنية والإنتاج'!$D$16:$M$16,B112)*D112/$N$18,0)</f>
        <v>10500</v>
      </c>
      <c r="G112" s="11">
        <f>IF($N$18&gt;0,INDEX('الخطة الفنية والإنتاج'!$D$17:$M$17,B112)*D112/$N$18,0)</f>
        <v>1166.6666666666665</v>
      </c>
      <c r="H112" s="13">
        <f>IF($N$18&gt;0,INDEX('الخطة الفنية والإنتاج'!$D$18:$M$18,B112)*D112/$N$18,0)</f>
        <v>991.6666666666666</v>
      </c>
      <c r="I112" s="31">
        <f>IF(D112&gt;0,H112/D112,0)</f>
        <v>39.666666666666664</v>
      </c>
      <c r="J112" s="11">
        <f>SUM($H$6:H112)</f>
        <v>101348.33333333344</v>
      </c>
      <c r="K112" s="11">
        <f>OreReserve-SUM($G$6:G112)</f>
        <v>20766.666666666497</v>
      </c>
    </row>
    <row r="113">
      <c r="A113" s="51">
        <f>EDATE($N$21,C113-1)</f>
        <v>49919</v>
      </c>
      <c r="B113" s="7">
        <f>INT((C113-1)/12)+1</f>
        <v>9</v>
      </c>
      <c r="C113" s="7">
        <v>108</v>
      </c>
      <c r="D113" s="11">
        <f>INDEX($N$6:$N$17,MONTH(A113))</f>
        <v>25</v>
      </c>
      <c r="E113" s="17">
        <f>INDEX('الخطة الفنية والإنتاج'!$D$15:$M$15,B113)</f>
        <v>1</v>
      </c>
      <c r="F113" s="11">
        <f>IF($N$18&gt;0,INDEX('الخطة الفنية والإنتاج'!$D$16:$M$16,B113)*D113/$N$18,0)</f>
        <v>10500</v>
      </c>
      <c r="G113" s="11">
        <f>IF($N$18&gt;0,INDEX('الخطة الفنية والإنتاج'!$D$17:$M$17,B113)*D113/$N$18,0)</f>
        <v>1166.6666666666665</v>
      </c>
      <c r="H113" s="13">
        <f>IF($N$18&gt;0,INDEX('الخطة الفنية والإنتاج'!$D$18:$M$18,B113)*D113/$N$18,0)</f>
        <v>991.6666666666666</v>
      </c>
      <c r="I113" s="31">
        <f>IF(D113&gt;0,H113/D113,0)</f>
        <v>39.666666666666664</v>
      </c>
      <c r="J113" s="11">
        <f>SUM($H$6:H113)</f>
        <v>102340.00000000012</v>
      </c>
      <c r="K113" s="11">
        <f>OreReserve-SUM($G$6:G113)</f>
        <v>19599.999999999825</v>
      </c>
    </row>
    <row r="114">
      <c r="A114" s="51">
        <f>EDATE($N$21,C114-1)</f>
        <v>49949</v>
      </c>
      <c r="B114" s="7">
        <f>INT((C114-1)/12)+1</f>
        <v>10</v>
      </c>
      <c r="C114" s="7">
        <v>109</v>
      </c>
      <c r="D114" s="11">
        <f>INDEX($N$6:$N$17,MONTH(A114))</f>
        <v>25</v>
      </c>
      <c r="E114" s="17">
        <f>INDEX('الخطة الفنية والإنتاج'!$D$15:$M$15,B114)</f>
        <v>1</v>
      </c>
      <c r="F114" s="11">
        <f>IF($N$18&gt;0,INDEX('الخطة الفنية والإنتاج'!$D$16:$M$16,B114)*D114/$N$18,0)</f>
        <v>10500</v>
      </c>
      <c r="G114" s="11">
        <f>IF($N$18&gt;0,INDEX('الخطة الفنية والإنتاج'!$D$17:$M$17,B114)*D114/$N$18,0)</f>
        <v>1166.6666666666665</v>
      </c>
      <c r="H114" s="13">
        <f>IF($N$18&gt;0,INDEX('الخطة الفنية والإنتاج'!$D$18:$M$18,B114)*D114/$N$18,0)</f>
        <v>991.6666666666666</v>
      </c>
      <c r="I114" s="31">
        <f>IF(D114&gt;0,H114/D114,0)</f>
        <v>39.666666666666664</v>
      </c>
      <c r="J114" s="11">
        <f>SUM($H$6:H114)</f>
        <v>103331.66666666679</v>
      </c>
      <c r="K114" s="11">
        <f>OreReserve-SUM($G$6:G114)</f>
        <v>18433.333333333154</v>
      </c>
    </row>
    <row r="115">
      <c r="A115" s="51">
        <f>EDATE($N$21,C115-1)</f>
        <v>49980</v>
      </c>
      <c r="B115" s="7">
        <f>INT((C115-1)/12)+1</f>
        <v>10</v>
      </c>
      <c r="C115" s="7">
        <v>110</v>
      </c>
      <c r="D115" s="11">
        <f>INDEX($N$6:$N$17,MONTH(A115))</f>
        <v>25</v>
      </c>
      <c r="E115" s="17">
        <f>INDEX('الخطة الفنية والإنتاج'!$D$15:$M$15,B115)</f>
        <v>1</v>
      </c>
      <c r="F115" s="11">
        <f>IF($N$18&gt;0,INDEX('الخطة الفنية والإنتاج'!$D$16:$M$16,B115)*D115/$N$18,0)</f>
        <v>10500</v>
      </c>
      <c r="G115" s="11">
        <f>IF($N$18&gt;0,INDEX('الخطة الفنية والإنتاج'!$D$17:$M$17,B115)*D115/$N$18,0)</f>
        <v>1166.6666666666665</v>
      </c>
      <c r="H115" s="13">
        <f>IF($N$18&gt;0,INDEX('الخطة الفنية والإنتاج'!$D$18:$M$18,B115)*D115/$N$18,0)</f>
        <v>991.6666666666666</v>
      </c>
      <c r="I115" s="31">
        <f>IF(D115&gt;0,H115/D115,0)</f>
        <v>39.666666666666664</v>
      </c>
      <c r="J115" s="11">
        <f>SUM($H$6:H115)</f>
        <v>104323.33333333346</v>
      </c>
      <c r="K115" s="11">
        <f>OreReserve-SUM($G$6:G115)</f>
        <v>17266.666666666482</v>
      </c>
    </row>
    <row r="116">
      <c r="A116" s="51">
        <f>EDATE($N$21,C116-1)</f>
        <v>50010</v>
      </c>
      <c r="B116" s="7">
        <f>INT((C116-1)/12)+1</f>
        <v>10</v>
      </c>
      <c r="C116" s="7">
        <v>111</v>
      </c>
      <c r="D116" s="11">
        <f>INDEX($N$6:$N$17,MONTH(A116))</f>
        <v>25</v>
      </c>
      <c r="E116" s="17">
        <f>INDEX('الخطة الفنية والإنتاج'!$D$15:$M$15,B116)</f>
        <v>1</v>
      </c>
      <c r="F116" s="11">
        <f>IF($N$18&gt;0,INDEX('الخطة الفنية والإنتاج'!$D$16:$M$16,B116)*D116/$N$18,0)</f>
        <v>10500</v>
      </c>
      <c r="G116" s="11">
        <f>IF($N$18&gt;0,INDEX('الخطة الفنية والإنتاج'!$D$17:$M$17,B116)*D116/$N$18,0)</f>
        <v>1166.6666666666665</v>
      </c>
      <c r="H116" s="13">
        <f>IF($N$18&gt;0,INDEX('الخطة الفنية والإنتاج'!$D$18:$M$18,B116)*D116/$N$18,0)</f>
        <v>991.6666666666666</v>
      </c>
      <c r="I116" s="31">
        <f>IF(D116&gt;0,H116/D116,0)</f>
        <v>39.666666666666664</v>
      </c>
      <c r="J116" s="11">
        <f>SUM($H$6:H116)</f>
        <v>105315.00000000013</v>
      </c>
      <c r="K116" s="11">
        <f>OreReserve-SUM($G$6:G116)</f>
        <v>16099.99999999981</v>
      </c>
    </row>
    <row r="117">
      <c r="A117" s="51">
        <f>EDATE($N$21,C117-1)</f>
        <v>50041</v>
      </c>
      <c r="B117" s="7">
        <f>INT((C117-1)/12)+1</f>
        <v>10</v>
      </c>
      <c r="C117" s="7">
        <v>112</v>
      </c>
      <c r="D117" s="11">
        <f>INDEX($N$6:$N$17,MONTH(A117))</f>
        <v>25</v>
      </c>
      <c r="E117" s="17">
        <f>INDEX('الخطة الفنية والإنتاج'!$D$15:$M$15,B117)</f>
        <v>1</v>
      </c>
      <c r="F117" s="11">
        <f>IF($N$18&gt;0,INDEX('الخطة الفنية والإنتاج'!$D$16:$M$16,B117)*D117/$N$18,0)</f>
        <v>10500</v>
      </c>
      <c r="G117" s="11">
        <f>IF($N$18&gt;0,INDEX('الخطة الفنية والإنتاج'!$D$17:$M$17,B117)*D117/$N$18,0)</f>
        <v>1166.6666666666665</v>
      </c>
      <c r="H117" s="13">
        <f>IF($N$18&gt;0,INDEX('الخطة الفنية والإنتاج'!$D$18:$M$18,B117)*D117/$N$18,0)</f>
        <v>991.6666666666666</v>
      </c>
      <c r="I117" s="31">
        <f>IF(D117&gt;0,H117/D117,0)</f>
        <v>39.666666666666664</v>
      </c>
      <c r="J117" s="11">
        <f>SUM($H$6:H117)</f>
        <v>106306.6666666668</v>
      </c>
      <c r="K117" s="11">
        <f>OreReserve-SUM($G$6:G117)</f>
        <v>14933.33333333314</v>
      </c>
    </row>
    <row r="118">
      <c r="A118" s="51">
        <f>EDATE($N$21,C118-1)</f>
        <v>50072</v>
      </c>
      <c r="B118" s="7">
        <f>INT((C118-1)/12)+1</f>
        <v>10</v>
      </c>
      <c r="C118" s="7">
        <v>113</v>
      </c>
      <c r="D118" s="11">
        <f>INDEX($N$6:$N$17,MONTH(A118))</f>
        <v>25</v>
      </c>
      <c r="E118" s="17">
        <f>INDEX('الخطة الفنية والإنتاج'!$D$15:$M$15,B118)</f>
        <v>1</v>
      </c>
      <c r="F118" s="11">
        <f>IF($N$18&gt;0,INDEX('الخطة الفنية والإنتاج'!$D$16:$M$16,B118)*D118/$N$18,0)</f>
        <v>10500</v>
      </c>
      <c r="G118" s="11">
        <f>IF($N$18&gt;0,INDEX('الخطة الفنية والإنتاج'!$D$17:$M$17,B118)*D118/$N$18,0)</f>
        <v>1166.6666666666665</v>
      </c>
      <c r="H118" s="13">
        <f>IF($N$18&gt;0,INDEX('الخطة الفنية والإنتاج'!$D$18:$M$18,B118)*D118/$N$18,0)</f>
        <v>991.6666666666666</v>
      </c>
      <c r="I118" s="31">
        <f>IF(D118&gt;0,H118/D118,0)</f>
        <v>39.666666666666664</v>
      </c>
      <c r="J118" s="11">
        <f>SUM($H$6:H118)</f>
        <v>107298.33333333347</v>
      </c>
      <c r="K118" s="11">
        <f>OreReserve-SUM($G$6:G118)</f>
        <v>13766.666666666468</v>
      </c>
    </row>
    <row r="119">
      <c r="A119" s="51">
        <f>EDATE($N$21,C119-1)</f>
        <v>50100</v>
      </c>
      <c r="B119" s="7">
        <f>INT((C119-1)/12)+1</f>
        <v>10</v>
      </c>
      <c r="C119" s="7">
        <v>114</v>
      </c>
      <c r="D119" s="11">
        <f>INDEX($N$6:$N$17,MONTH(A119))</f>
        <v>25</v>
      </c>
      <c r="E119" s="17">
        <f>INDEX('الخطة الفنية والإنتاج'!$D$15:$M$15,B119)</f>
        <v>1</v>
      </c>
      <c r="F119" s="11">
        <f>IF($N$18&gt;0,INDEX('الخطة الفنية والإنتاج'!$D$16:$M$16,B119)*D119/$N$18,0)</f>
        <v>10500</v>
      </c>
      <c r="G119" s="11">
        <f>IF($N$18&gt;0,INDEX('الخطة الفنية والإنتاج'!$D$17:$M$17,B119)*D119/$N$18,0)</f>
        <v>1166.6666666666665</v>
      </c>
      <c r="H119" s="13">
        <f>IF($N$18&gt;0,INDEX('الخطة الفنية والإنتاج'!$D$18:$M$18,B119)*D119/$N$18,0)</f>
        <v>991.6666666666666</v>
      </c>
      <c r="I119" s="31">
        <f>IF(D119&gt;0,H119/D119,0)</f>
        <v>39.666666666666664</v>
      </c>
      <c r="J119" s="11">
        <f>SUM($H$6:H119)</f>
        <v>108290.00000000015</v>
      </c>
      <c r="K119" s="11">
        <f>OreReserve-SUM($G$6:G119)</f>
        <v>12599.999999999796</v>
      </c>
    </row>
    <row r="120">
      <c r="A120" s="51">
        <f>EDATE($N$21,C120-1)</f>
        <v>50131</v>
      </c>
      <c r="B120" s="7">
        <f>INT((C120-1)/12)+1</f>
        <v>10</v>
      </c>
      <c r="C120" s="7">
        <v>115</v>
      </c>
      <c r="D120" s="11">
        <f>INDEX($N$6:$N$17,MONTH(A120))</f>
        <v>25</v>
      </c>
      <c r="E120" s="17">
        <f>INDEX('الخطة الفنية والإنتاج'!$D$15:$M$15,B120)</f>
        <v>1</v>
      </c>
      <c r="F120" s="11">
        <f>IF($N$18&gt;0,INDEX('الخطة الفنية والإنتاج'!$D$16:$M$16,B120)*D120/$N$18,0)</f>
        <v>10500</v>
      </c>
      <c r="G120" s="11">
        <f>IF($N$18&gt;0,INDEX('الخطة الفنية والإنتاج'!$D$17:$M$17,B120)*D120/$N$18,0)</f>
        <v>1166.6666666666665</v>
      </c>
      <c r="H120" s="13">
        <f>IF($N$18&gt;0,INDEX('الخطة الفنية والإنتاج'!$D$18:$M$18,B120)*D120/$N$18,0)</f>
        <v>991.6666666666666</v>
      </c>
      <c r="I120" s="31">
        <f>IF(D120&gt;0,H120/D120,0)</f>
        <v>39.666666666666664</v>
      </c>
      <c r="J120" s="11">
        <f>SUM($H$6:H120)</f>
        <v>109281.66666666682</v>
      </c>
      <c r="K120" s="11">
        <f>OreReserve-SUM($G$6:G120)</f>
        <v>11433.333333333125</v>
      </c>
    </row>
    <row r="121">
      <c r="A121" s="51">
        <f>EDATE($N$21,C121-1)</f>
        <v>50161</v>
      </c>
      <c r="B121" s="7">
        <f>INT((C121-1)/12)+1</f>
        <v>10</v>
      </c>
      <c r="C121" s="7">
        <v>116</v>
      </c>
      <c r="D121" s="11">
        <f>INDEX($N$6:$N$17,MONTH(A121))</f>
        <v>25</v>
      </c>
      <c r="E121" s="17">
        <f>INDEX('الخطة الفنية والإنتاج'!$D$15:$M$15,B121)</f>
        <v>1</v>
      </c>
      <c r="F121" s="11">
        <f>IF($N$18&gt;0,INDEX('الخطة الفنية والإنتاج'!$D$16:$M$16,B121)*D121/$N$18,0)</f>
        <v>10500</v>
      </c>
      <c r="G121" s="11">
        <f>IF($N$18&gt;0,INDEX('الخطة الفنية والإنتاج'!$D$17:$M$17,B121)*D121/$N$18,0)</f>
        <v>1166.6666666666665</v>
      </c>
      <c r="H121" s="13">
        <f>IF($N$18&gt;0,INDEX('الخطة الفنية والإنتاج'!$D$18:$M$18,B121)*D121/$N$18,0)</f>
        <v>991.6666666666666</v>
      </c>
      <c r="I121" s="31">
        <f>IF(D121&gt;0,H121/D121,0)</f>
        <v>39.666666666666664</v>
      </c>
      <c r="J121" s="11">
        <f>SUM($H$6:H121)</f>
        <v>110273.33333333349</v>
      </c>
      <c r="K121" s="11">
        <f>OreReserve-SUM($G$6:G121)</f>
        <v>10266.666666666453</v>
      </c>
    </row>
    <row r="122">
      <c r="A122" s="51">
        <f>EDATE($N$21,C122-1)</f>
        <v>50192</v>
      </c>
      <c r="B122" s="7">
        <f>INT((C122-1)/12)+1</f>
        <v>10</v>
      </c>
      <c r="C122" s="7">
        <v>117</v>
      </c>
      <c r="D122" s="11">
        <f>INDEX($N$6:$N$17,MONTH(A122))</f>
        <v>25</v>
      </c>
      <c r="E122" s="17">
        <f>INDEX('الخطة الفنية والإنتاج'!$D$15:$M$15,B122)</f>
        <v>1</v>
      </c>
      <c r="F122" s="11">
        <f>IF($N$18&gt;0,INDEX('الخطة الفنية والإنتاج'!$D$16:$M$16,B122)*D122/$N$18,0)</f>
        <v>10500</v>
      </c>
      <c r="G122" s="11">
        <f>IF($N$18&gt;0,INDEX('الخطة الفنية والإنتاج'!$D$17:$M$17,B122)*D122/$N$18,0)</f>
        <v>1166.6666666666665</v>
      </c>
      <c r="H122" s="13">
        <f>IF($N$18&gt;0,INDEX('الخطة الفنية والإنتاج'!$D$18:$M$18,B122)*D122/$N$18,0)</f>
        <v>991.6666666666666</v>
      </c>
      <c r="I122" s="31">
        <f>IF(D122&gt;0,H122/D122,0)</f>
        <v>39.666666666666664</v>
      </c>
      <c r="J122" s="11">
        <f>SUM($H$6:H122)</f>
        <v>111265.00000000016</v>
      </c>
      <c r="K122" s="11">
        <f>OreReserve-SUM($G$6:G122)</f>
        <v>9099.999999999782</v>
      </c>
    </row>
    <row r="123">
      <c r="A123" s="51">
        <f>EDATE($N$21,C123-1)</f>
        <v>50222</v>
      </c>
      <c r="B123" s="7">
        <f>INT((C123-1)/12)+1</f>
        <v>10</v>
      </c>
      <c r="C123" s="7">
        <v>118</v>
      </c>
      <c r="D123" s="11">
        <f>INDEX($N$6:$N$17,MONTH(A123))</f>
        <v>25</v>
      </c>
      <c r="E123" s="17">
        <f>INDEX('الخطة الفنية والإنتاج'!$D$15:$M$15,B123)</f>
        <v>1</v>
      </c>
      <c r="F123" s="11">
        <f>IF($N$18&gt;0,INDEX('الخطة الفنية والإنتاج'!$D$16:$M$16,B123)*D123/$N$18,0)</f>
        <v>10500</v>
      </c>
      <c r="G123" s="11">
        <f>IF($N$18&gt;0,INDEX('الخطة الفنية والإنتاج'!$D$17:$M$17,B123)*D123/$N$18,0)</f>
        <v>1166.6666666666665</v>
      </c>
      <c r="H123" s="13">
        <f>IF($N$18&gt;0,INDEX('الخطة الفنية والإنتاج'!$D$18:$M$18,B123)*D123/$N$18,0)</f>
        <v>991.6666666666666</v>
      </c>
      <c r="I123" s="31">
        <f>IF(D123&gt;0,H123/D123,0)</f>
        <v>39.666666666666664</v>
      </c>
      <c r="J123" s="11">
        <f>SUM($H$6:H123)</f>
        <v>112256.66666666683</v>
      </c>
      <c r="K123" s="11">
        <f>OreReserve-SUM($G$6:G123)</f>
        <v>7933.33333333311</v>
      </c>
    </row>
    <row r="124">
      <c r="A124" s="51">
        <f>EDATE($N$21,C124-1)</f>
        <v>50253</v>
      </c>
      <c r="B124" s="7">
        <f>INT((C124-1)/12)+1</f>
        <v>10</v>
      </c>
      <c r="C124" s="7">
        <v>119</v>
      </c>
      <c r="D124" s="11">
        <f>INDEX($N$6:$N$17,MONTH(A124))</f>
        <v>25</v>
      </c>
      <c r="E124" s="17">
        <f>INDEX('الخطة الفنية والإنتاج'!$D$15:$M$15,B124)</f>
        <v>1</v>
      </c>
      <c r="F124" s="11">
        <f>IF($N$18&gt;0,INDEX('الخطة الفنية والإنتاج'!$D$16:$M$16,B124)*D124/$N$18,0)</f>
        <v>10500</v>
      </c>
      <c r="G124" s="11">
        <f>IF($N$18&gt;0,INDEX('الخطة الفنية والإنتاج'!$D$17:$M$17,B124)*D124/$N$18,0)</f>
        <v>1166.6666666666665</v>
      </c>
      <c r="H124" s="13">
        <f>IF($N$18&gt;0,INDEX('الخطة الفنية والإنتاج'!$D$18:$M$18,B124)*D124/$N$18,0)</f>
        <v>991.6666666666666</v>
      </c>
      <c r="I124" s="31">
        <f>IF(D124&gt;0,H124/D124,0)</f>
        <v>39.666666666666664</v>
      </c>
      <c r="J124" s="11">
        <f>SUM($H$6:H124)</f>
        <v>113248.3333333335</v>
      </c>
      <c r="K124" s="11">
        <f>OreReserve-SUM($G$6:G124)</f>
        <v>6766.666666666453</v>
      </c>
    </row>
    <row r="125">
      <c r="A125" s="51">
        <f>EDATE($N$21,C125-1)</f>
        <v>50284</v>
      </c>
      <c r="B125" s="7">
        <f>INT((C125-1)/12)+1</f>
        <v>10</v>
      </c>
      <c r="C125" s="7">
        <v>120</v>
      </c>
      <c r="D125" s="11">
        <f>INDEX($N$6:$N$17,MONTH(A125))</f>
        <v>25</v>
      </c>
      <c r="E125" s="17">
        <f>INDEX('الخطة الفنية والإنتاج'!$D$15:$M$15,B125)</f>
        <v>1</v>
      </c>
      <c r="F125" s="11">
        <f>IF($N$18&gt;0,INDEX('الخطة الفنية والإنتاج'!$D$16:$M$16,B125)*D125/$N$18,0)</f>
        <v>10500</v>
      </c>
      <c r="G125" s="11">
        <f>IF($N$18&gt;0,INDEX('الخطة الفنية والإنتاج'!$D$17:$M$17,B125)*D125/$N$18,0)</f>
        <v>1166.6666666666665</v>
      </c>
      <c r="H125" s="13">
        <f>IF($N$18&gt;0,INDEX('الخطة الفنية والإنتاج'!$D$18:$M$18,B125)*D125/$N$18,0)</f>
        <v>991.6666666666666</v>
      </c>
      <c r="I125" s="31">
        <f>IF(D125&gt;0,H125/D125,0)</f>
        <v>39.666666666666664</v>
      </c>
      <c r="J125" s="11">
        <f>SUM($H$6:H125)</f>
        <v>114240.00000000017</v>
      </c>
      <c r="K125" s="11">
        <f>OreReserve-SUM($G$6:G125)</f>
        <v>5599.999999999796</v>
      </c>
    </row>
    <row r="126">
      <c r="A126" s="32" t="inlineStr">
        <is>
          <t>الإجمالي (10 سنوات)</t>
        </is>
      </c>
      <c r="B126" s="12"/>
      <c r="C126" s="12"/>
      <c r="D126" s="12">
        <f>SUM(D6:D125)</f>
        <v>3000</v>
      </c>
      <c r="E126" s="12"/>
      <c r="F126" s="12">
        <f>SUM(F6:F125)</f>
        <v>1209600</v>
      </c>
      <c r="G126" s="12">
        <f>SUM(G6:G125)</f>
        <v>134400</v>
      </c>
      <c r="H126" s="12">
        <f>SUM(H6:H125)</f>
        <v>114240</v>
      </c>
      <c r="I126" s="12"/>
      <c r="J126" s="12"/>
      <c r="K126" s="12"/>
    </row>
  </sheetData>
  <pageMargins left="0.5" right="0.5" top="0.6" bottom="0.6" header="0.3" footer="0.3"/>
  <pageSetup paperSize="9" orientation="landscape"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22</vt:i4>
      </vt:variant>
      <vt:variant>
        <vt:lpstr>Named Ranges</vt:lpstr>
      </vt:variant>
      <vt:variant>
        <vt:i4>78</vt:i4>
      </vt:variant>
    </vt:vector>
  </HeadingPairs>
  <TitlesOfParts>
    <vt:vector size="100" baseType="lpstr">
      <vt:lpstr>الغلاف والفهرس</vt:lpstr>
      <vt:lpstr>الملخص التنفيذي</vt:lpstr>
      <vt:lpstr>الافتراضات</vt:lpstr>
      <vt:lpstr>التراخيص</vt:lpstr>
      <vt:lpstr>السوق والسعر</vt:lpstr>
      <vt:lpstr>الخطة الفنية والإنتاج</vt:lpstr>
      <vt:lpstr>الإنتاج الشهري</vt:lpstr>
      <vt:lpstr>الجدول الزمني</vt:lpstr>
      <vt:lpstr>الأصول والإهلاك</vt:lpstr>
      <vt:lpstr>مصاريف ما قبل التشغيل</vt:lpstr>
      <vt:lpstr>الموارد البشرية</vt:lpstr>
      <vt:lpstr>الإيجارات</vt:lpstr>
      <vt:lpstr>المواد المستهلكة</vt:lpstr>
      <vt:lpstr>الإيرادات</vt:lpstr>
      <vt:lpstr>التكاليف التشغيلية</vt:lpstr>
      <vt:lpstr>التكلفة الاستثمارية والتمويل</vt:lpstr>
      <vt:lpstr>قائمة الدخل</vt:lpstr>
      <vt:lpstr>التدفقات النقدية</vt:lpstr>
      <vt:lpstr>المؤشرات المالية</vt:lpstr>
      <vt:lpstr>تحليل الحساسية</vt:lpstr>
      <vt:lpstr>المخاطر و SWOT</vt:lpstr>
      <vt:lpstr>التصحيحات والمصادر</vt:lpstr>
      <vt:lpstr>AmortYrs</vt:lpstr>
      <vt:lpstr>AssayCost</vt:lpstr>
      <vt:lpstr>AvailFactor</vt:lpstr>
      <vt:lpstr>BankGuar</vt:lpstr>
      <vt:lpstr>BenchGrade</vt:lpstr>
      <vt:lpstr>BrkProd</vt:lpstr>
      <vt:lpstr>CifBench</vt:lpstr>
      <vt:lpstr>CommunityRate</vt:lpstr>
      <vt:lpstr>ConsFix</vt:lpstr>
      <vt:lpstr>ConsVar</vt:lpstr>
      <vt:lpstr>DieselPrice</vt:lpstr>
      <vt:lpstr>DiscRate</vt:lpstr>
      <vt:lpstr>EosRate</vt:lpstr>
      <vt:lpstr>EqIns</vt:lpstr>
      <vt:lpstr>EquipRent</vt:lpstr>
      <vt:lpstr>ExpIns</vt:lpstr>
      <vt:lpstr>F_Capex</vt:lpstr>
      <vt:lpstr>F_Opex</vt:lpstr>
      <vt:lpstr>F_Price</vt:lpstr>
      <vt:lpstr>F_Vol</vt:lpstr>
      <vt:lpstr>FixedAssets</vt:lpstr>
      <vt:lpstr>FxRate</vt:lpstr>
      <vt:lpstr>GenAdmin</vt:lpstr>
      <vt:lpstr>GuarComm</vt:lpstr>
      <vt:lpstr>HaulDist</vt:lpstr>
      <vt:lpstr>InflRate</vt:lpstr>
      <vt:lpstr>K_IRR</vt:lpstr>
      <vt:lpstr>K_IRRNew</vt:lpstr>
      <vt:lpstr>K_NPV</vt:lpstr>
      <vt:lpstr>K_NPVNew</vt:lpstr>
      <vt:lpstr>K_Payback</vt:lpstr>
      <vt:lpstr>LicFees</vt:lpstr>
      <vt:lpstr>LicRenew</vt:lpstr>
      <vt:lpstr>Loan</vt:lpstr>
      <vt:lpstr>LoanRate</vt:lpstr>
      <vt:lpstr>LoanYrs</vt:lpstr>
      <vt:lpstr>MinExportGrade</vt:lpstr>
      <vt:lpstr>MinWage</vt:lpstr>
      <vt:lpstr>NatAvgOutput</vt:lpstr>
      <vt:lpstr>NatAvgPrice</vt:lpstr>
      <vt:lpstr>NewInv</vt:lpstr>
      <vt:lpstr>OpHours</vt:lpstr>
      <vt:lpstr>OreGrade</vt:lpstr>
      <vt:lpstr>OreReserve</vt:lpstr>
      <vt:lpstr>Payroll</vt:lpstr>
      <vt:lpstr>Permit2</vt:lpstr>
      <vt:lpstr>Permit3</vt:lpstr>
      <vt:lpstr>PermitCost</vt:lpstr>
      <vt:lpstr>PermitOther</vt:lpstr>
      <vt:lpstr>PermitRenew</vt:lpstr>
      <vt:lpstr>PortCost</vt:lpstr>
      <vt:lpstr>PreOp</vt:lpstr>
      <vt:lpstr>PriceDisc</vt:lpstr>
      <vt:lpstr>PriceG</vt:lpstr>
      <vt:lpstr>RehabCost</vt:lpstr>
      <vt:lpstr>RockCap</vt:lpstr>
      <vt:lpstr>ROMCap</vt:lpstr>
      <vt:lpstr>RoyaltyRate</vt:lpstr>
      <vt:lpstr>SaleCap</vt:lpstr>
      <vt:lpstr>SalePrice</vt:lpstr>
      <vt:lpstr>SeaFreight</vt:lpstr>
      <vt:lpstr>ShiftHrs</vt:lpstr>
      <vt:lpstr>SiteRent</vt:lpstr>
      <vt:lpstr>SortRecov</vt:lpstr>
      <vt:lpstr>SPFEx</vt:lpstr>
      <vt:lpstr>SPFOm</vt:lpstr>
      <vt:lpstr>StaffOnCost</vt:lpstr>
      <vt:lpstr>StartDate</vt:lpstr>
      <vt:lpstr>StripRatio</vt:lpstr>
      <vt:lpstr>SunkCost</vt:lpstr>
      <vt:lpstr>TaxRate</vt:lpstr>
      <vt:lpstr>TotalInv</vt:lpstr>
      <vt:lpstr>TraderM</vt:lpstr>
      <vt:lpstr>TruckRate</vt:lpstr>
      <vt:lpstr>Utilities</vt:lpstr>
      <vt:lpstr>WCMonths</vt:lpstr>
      <vt:lpstr>WorkCap</vt:lpstr>
      <vt:lpstr>WorkDays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Amur Al Bakhit</dc:creator>
  <cp:lastModifiedBy>Amur Al Bakhit</cp:lastModifiedBy>
  <dcterms:created xsi:type="dcterms:W3CDTF">2026-10-05T10:26:16Z</dcterms:created>
  <dcterms:modified xsi:type="dcterms:W3CDTF">2026-10-05T10:27:00Z</dcterms:modified>
</cp:coreProperties>
</file>