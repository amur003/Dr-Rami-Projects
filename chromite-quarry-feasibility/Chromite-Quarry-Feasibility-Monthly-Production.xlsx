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840" tabRatio="600" firstSheet="0" activeTab="0" autoFilterDateGrouping="1"/>
  </bookViews>
  <sheets>
    <sheet xmlns:r="http://schemas.openxmlformats.org/officeDocument/2006/relationships" name="الغلاف والفهرس" sheetId="1" state="visible" r:id="rId1"/>
    <sheet xmlns:r="http://schemas.openxmlformats.org/officeDocument/2006/relationships" name="الملخص التنفيذي" sheetId="2" state="visible" r:id="rId2"/>
    <sheet xmlns:r="http://schemas.openxmlformats.org/officeDocument/2006/relationships" name="الافتراضات" sheetId="3" state="visible" r:id="rId3"/>
    <sheet xmlns:r="http://schemas.openxmlformats.org/officeDocument/2006/relationships" name="التراخيص" sheetId="4" state="visible" r:id="rId4"/>
    <sheet xmlns:r="http://schemas.openxmlformats.org/officeDocument/2006/relationships" name="السوق والسعر" sheetId="5" state="visible" r:id="rId5"/>
    <sheet xmlns:r="http://schemas.openxmlformats.org/officeDocument/2006/relationships" name="الخطة الفنية والإنتاج" sheetId="6" state="visible" r:id="rId6"/>
    <sheet xmlns:r="http://schemas.openxmlformats.org/officeDocument/2006/relationships" name="الإنتاج الشهري" sheetId="7" state="visible" r:id="rId7"/>
    <sheet xmlns:r="http://schemas.openxmlformats.org/officeDocument/2006/relationships" name="الجدول الزمني" sheetId="8" state="visible" r:id="rId8"/>
    <sheet xmlns:r="http://schemas.openxmlformats.org/officeDocument/2006/relationships" name="الأصول والإهلاك" sheetId="9" state="visible" r:id="rId9"/>
    <sheet xmlns:r="http://schemas.openxmlformats.org/officeDocument/2006/relationships" name="مصاريف ما قبل التشغيل" sheetId="10" state="visible" r:id="rId10"/>
    <sheet xmlns:r="http://schemas.openxmlformats.org/officeDocument/2006/relationships" name="الموارد البشرية" sheetId="11" state="visible" r:id="rId11"/>
    <sheet xmlns:r="http://schemas.openxmlformats.org/officeDocument/2006/relationships" name="الإيجارات" sheetId="12" state="visible" r:id="rId12"/>
    <sheet xmlns:r="http://schemas.openxmlformats.org/officeDocument/2006/relationships" name="المواد المستهلكة" sheetId="13" state="visible" r:id="rId13"/>
    <sheet xmlns:r="http://schemas.openxmlformats.org/officeDocument/2006/relationships" name="الإيرادات" sheetId="14" state="visible" r:id="rId14"/>
    <sheet xmlns:r="http://schemas.openxmlformats.org/officeDocument/2006/relationships" name="التكاليف التشغيلية" sheetId="15" state="visible" r:id="rId15"/>
    <sheet xmlns:r="http://schemas.openxmlformats.org/officeDocument/2006/relationships" name="التكلفة الاستثمارية والتمويل" sheetId="16" state="visible" r:id="rId16"/>
    <sheet xmlns:r="http://schemas.openxmlformats.org/officeDocument/2006/relationships" name="قائمة الدخل" sheetId="17" state="visible" r:id="rId17"/>
    <sheet xmlns:r="http://schemas.openxmlformats.org/officeDocument/2006/relationships" name="التدفقات النقدية" sheetId="18" state="visible" r:id="rId18"/>
    <sheet xmlns:r="http://schemas.openxmlformats.org/officeDocument/2006/relationships" name="المؤشرات المالية" sheetId="19" state="visible" r:id="rId19"/>
    <sheet xmlns:r="http://schemas.openxmlformats.org/officeDocument/2006/relationships" name="تحليل الحساسية" sheetId="20" state="visible" r:id="rId20"/>
    <sheet xmlns:r="http://schemas.openxmlformats.org/officeDocument/2006/relationships" name="المخاطر و SWOT" sheetId="21" state="visible" r:id="rId21"/>
    <sheet xmlns:r="http://schemas.openxmlformats.org/officeDocument/2006/relationships" name="التصحيحات والمصادر" sheetId="22" state="visible" r:id="rId22"/>
  </sheets>
  <definedNames>
    <definedName name="AmortYrs">'مصاريف ما قبل التشغيل'!$B$12</definedName>
    <definedName name="AssayCost">الافتراضات!$B$51</definedName>
    <definedName name="AvailFactor">الافتراضات!$B$18</definedName>
    <definedName name="BankGuar">الافتراضات!$B$34</definedName>
    <definedName name="BenchGrade">الافتراضات!$B$22</definedName>
    <definedName name="BrkProd">الافتراضات!$B$19</definedName>
    <definedName name="CifBench">الافتراضات!$B$21</definedName>
    <definedName name="CommunityRate">الافتراضات!$B$32</definedName>
    <definedName name="DieselPrice">الافتراضات!$B$46</definedName>
    <definedName name="DiscRate">الافتراضات!$B$59</definedName>
    <definedName name="EosRate">الافتراضات!$B$39</definedName>
    <definedName name="EqIns">الافتراضات!$B$48</definedName>
    <definedName name="ExpIns">الافتراضات!$B$40</definedName>
    <definedName name="F_Capex">'تحليل الحساسية'!$B$8</definedName>
    <definedName name="F_Opex">'تحليل الحساسية'!$B$7</definedName>
    <definedName name="F_Price">'تحليل الحساسية'!$B$5</definedName>
    <definedName name="F_Vol">'تحليل الحساسية'!$B$6</definedName>
    <definedName name="FxRate">الافتراضات!$B$9</definedName>
    <definedName name="GenAdmin">الافتراضات!$B$49</definedName>
    <definedName name="GuarComm">الافتراضات!$B$35</definedName>
    <definedName name="HaulDist">الافتراضات!$B$26</definedName>
    <definedName name="InflRate">الافتراضات!$B$47</definedName>
    <definedName name="K_IRR">'المؤشرات المالية'!$B$7</definedName>
    <definedName name="K_IRRNew">'المؤشرات المالية'!$B$13</definedName>
    <definedName name="K_NPV">'المؤشرات المالية'!$B$6</definedName>
    <definedName name="K_NPVNew">'المؤشرات المالية'!$B$12</definedName>
    <definedName name="K_Payback">'المؤشرات المالية'!$B$8</definedName>
    <definedName name="LocalPrice">'السوق والسعر'!$B$38</definedName>
    <definedName name="LocalShare">'السوق والسعر'!$B$39</definedName>
    <definedName name="LicFees">التراخيص!$D$10</definedName>
    <definedName name="LicRenew">الافتراضات!$B$53</definedName>
    <definedName name="Loan">الافتراضات!$B$55</definedName>
    <definedName name="LoanRate">الافتراضات!$B$56</definedName>
    <definedName name="LoanYrs">الافتراضات!$B$57</definedName>
    <definedName name="MinExportGrade">'السوق والسعر'!$B$13</definedName>
    <definedName name="MinWage">الافتراضات!$B$44</definedName>
    <definedName name="NatAvgOutput">'السوق والسعر'!$B$11</definedName>
    <definedName name="NatAvgPrice">'السوق والسعر'!$B$9</definedName>
    <definedName name="NewInv">'التكلفة الاستثمارية والتمويل'!$B$12</definedName>
    <definedName name="OreGrade">الافتراضات!$B$13</definedName>
    <definedName name="OreReserve">الافتراضات!$B$12</definedName>
    <definedName name="Payroll">'الموارد البشرية'!$G$17</definedName>
    <definedName name="Permit2">الافتراضات!$B$41</definedName>
    <definedName name="Permit3">الافتراضات!$B$42</definedName>
    <definedName name="PermitCost">'الموارد البشرية'!$B$42</definedName>
    <definedName name="PermitOther">الافتراضات!$B$43</definedName>
    <definedName name="PermitRenew">'الموارد البشرية'!$B$40</definedName>
    <definedName name="PortCost">الافتراضات!$B$24</definedName>
    <definedName name="PreOp">'مصاريف ما قبل التشغيل'!$B$10</definedName>
    <definedName name="PriceDisc">الافتراضات!$B$28</definedName>
    <definedName name="PriceG">الافتراضات!$B$29</definedName>
    <definedName name="RehabCost">الافتراضات!$B$52</definedName>
    <definedName name="RoyaltyRate">الافتراضات!$B$31</definedName>
    <definedName name="SalePrice">'السوق والسعر'!$B$41</definedName>
    <definedName name="SeaFreight">الافتراضات!$B$23</definedName>
    <definedName name="ShiftHrs">الافتراضات!$B$17</definedName>
    <definedName name="SiteRent">الإيجارات!$E$9</definedName>
    <definedName name="SortRecov">الافتراضات!$B$15</definedName>
    <definedName name="SPFEx">الافتراضات!$B$38</definedName>
    <definedName name="SPFOm">الافتراضات!$B$37</definedName>
    <definedName name="StaffOnCost">'الموارد البشرية'!$B$34</definedName>
    <definedName name="StartDate">الافتراضات!$B$8</definedName>
    <definedName name="StripRatio">الافتراضات!$B$14</definedName>
    <definedName name="SunkCost">'مصاريف ما قبل التشغيل'!$B$9</definedName>
    <definedName name="TaxRate">الافتراضات!$B$33</definedName>
    <definedName name="TotalInv">'التكلفة الاستثمارية والتمويل'!$B$10</definedName>
    <definedName name="TraderM">الافتراضات!$B$25</definedName>
    <definedName name="TruckRate">الافتراضات!$B$27</definedName>
    <definedName name="Utilities">الافتراضات!$B$50</definedName>
    <definedName name="WCMonths">الافتراضات!$B$58</definedName>
    <definedName name="WorkCap">'التكلفة الاستثمارية والتمويل'!$B$17</definedName>
    <definedName name="WorkDays">الافتراضات!$B$16</definedName>
    <definedName name="TargetProd">الافتراضات!$B$62</definedName>
    <definedName name="ExcavNo">الافتراضات!$B$63</definedName>
    <definedName name="HireRate">الافتراضات!$B$64</definedName>
    <definedName name="SchedHrs">'الخطة الفنية والإنتاج'!$C$6</definedName>
    <definedName name="OpHours">'الخطة الفنية والإنتاج'!$C$7</definedName>
    <definedName name="SaleCap">'الخطة الفنية والإنتاج'!$C$8</definedName>
    <definedName name="ROMCap">'الخطة الفنية والإنتاج'!$C$9</definedName>
    <definedName name="RockCap">'الخطة الفنية والإنتاج'!$C$10</definedName>
    <definedName name="FixedAssets">'الأصول والإهلاك'!$D$10</definedName>
    <definedName name="MobileEq">'الأصول والإهلاك'!$D$11</definedName>
    <definedName name="EquipRent">الإيجارات!$E$12</definedName>
    <definedName name="ExcavHire">الإيجارات!$E$16</definedName>
    <definedName name="ConsVar">'المواد المستهلكة'!$F$18</definedName>
    <definedName name="ConsFix">'المواد المستهلكة'!$F$19</definedName>
  </definedNames>
  <calcPr calcId="181029" fullCalcOnLoad="1"/>
</workbook>
</file>

<file path=xl/styles.xml><?xml version="1.0" encoding="utf-8"?>
<styleSheet xmlns="http://schemas.openxmlformats.org/spreadsheetml/2006/main">
  <numFmts count="11">
    <numFmt numFmtId="164" formatCode="#,##0;\(#,##0\);&quot;-&quot;"/>
    <numFmt numFmtId="165" formatCode="0.0%;\(0.0%\);&quot;-&quot;"/>
    <numFmt numFmtId="166" formatCode="#,##0.00;\(#,##0.00\);&quot;-&quot;"/>
    <numFmt numFmtId="167" formatCode="0.0&quot; سنة&quot;"/>
    <numFmt numFmtId="168" formatCode="yyyy/mm/dd"/>
    <numFmt numFmtId="169" formatCode="#,##0.000;\(#,##0.000\);&quot;-&quot;"/>
    <numFmt numFmtId="170" formatCode="#,##0.0;\(#,##0.0\);&quot;-&quot;"/>
    <numFmt numFmtId="171" formatCode="0.00&quot;x&quot;"/>
    <numFmt numFmtId="172" formatCode="&quot;سنة التأسيس&quot;"/>
    <numFmt numFmtId="173" formatCode="&quot;السنة &quot;0"/>
    <numFmt numFmtId="174" formatCode="yyyy/mm"/>
  </numFmts>
  <fonts count="10">
    <font>
      <name val="Arial"/>
      <family val="2"/>
      <color theme="1"/>
      <sz val="10"/>
    </font>
    <font>
      <name val="Arial"/>
      <family val="2"/>
      <b val="1"/>
      <color theme="1"/>
      <sz val="10"/>
    </font>
    <font>
      <name val="Arial"/>
      <family val="2"/>
      <b val="1"/>
      <color rgb="FF1F3864"/>
      <sz val="16"/>
    </font>
    <font>
      <name val="Arial"/>
      <family val="2"/>
      <b val="1"/>
      <color rgb="FF2F5496"/>
      <sz val="12"/>
    </font>
    <font>
      <name val="Arial"/>
      <family val="2"/>
      <i val="1"/>
      <color rgb="FF595959"/>
      <sz val="9"/>
    </font>
    <font>
      <name val="Arial"/>
      <family val="2"/>
      <b val="1"/>
      <color rgb="FFFFFFFF"/>
      <sz val="10"/>
    </font>
    <font>
      <name val="Arial"/>
      <family val="2"/>
      <color theme="10"/>
      <sz val="10"/>
      <u val="single"/>
    </font>
    <font>
      <name val="Arial"/>
      <family val="2"/>
      <color rgb="FF0000FF"/>
      <sz val="10"/>
    </font>
    <font>
      <name val="Arial"/>
      <family val="2"/>
      <b val="1"/>
      <color rgb="FFC00000"/>
      <sz val="10"/>
    </font>
    <font>
      <name val="Arial"/>
      <family val="2"/>
      <b val="1"/>
      <color rgb="FF1F3864"/>
      <sz val="10"/>
    </font>
  </fonts>
  <fills count="7">
    <fill>
      <patternFill/>
    </fill>
    <fill>
      <patternFill patternType="gray125"/>
    </fill>
    <fill>
      <patternFill patternType="solid">
        <fgColor rgb="FF1F3864"/>
        <bgColor indexed="64"/>
      </patternFill>
    </fill>
    <fill>
      <patternFill patternType="solid">
        <fgColor rgb="FFFFF2CC"/>
        <bgColor indexed="64"/>
      </patternFill>
    </fill>
    <fill>
      <patternFill patternType="solid">
        <fgColor rgb="FFE7E6E6"/>
        <bgColor indexed="64"/>
      </patternFill>
    </fill>
    <fill>
      <patternFill patternType="solid">
        <fgColor rgb="FFE2EFDA"/>
        <bgColor indexed="64"/>
      </patternFill>
    </fill>
    <fill>
      <patternFill patternType="solid">
        <fgColor rgb="FFD9E2F3"/>
        <bgColor indexed="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2">
    <xf numFmtId="0" fontId="0" fillId="0" borderId="0"/>
    <xf numFmtId="0" fontId="6" fillId="0" borderId="0"/>
  </cellStyleXfs>
  <cellXfs count="53">
    <xf numFmtId="0" fontId="0" fillId="0" borderId="0" pivotButton="0" quotePrefix="0" xfId="0"/>
    <xf numFmtId="0" fontId="0" fillId="0" borderId="0" applyAlignment="1" pivotButton="0" quotePrefix="0" xfId="0">
      <alignment vertical="center" readingOrder="2"/>
    </xf>
    <xf numFmtId="0" fontId="0" fillId="0" borderId="0" applyAlignment="1" pivotButton="0" quotePrefix="0" xfId="0">
      <alignment horizontal="right" vertical="center" readingOrder="2"/>
    </xf>
    <xf numFmtId="0" fontId="2" fillId="0" borderId="0" applyAlignment="1" pivotButton="0" quotePrefix="0" xfId="0">
      <alignment horizontal="right" vertical="center" readingOrder="2"/>
    </xf>
    <xf numFmtId="0" fontId="3" fillId="0" borderId="0" applyAlignment="1" pivotButton="0" quotePrefix="0" xfId="0">
      <alignment horizontal="right" vertical="center" readingOrder="2"/>
    </xf>
    <xf numFmtId="0" fontId="4" fillId="0" borderId="0" applyAlignment="1" pivotButton="0" quotePrefix="0" xfId="0">
      <alignment horizontal="right" vertical="center" readingOrder="2"/>
    </xf>
    <xf numFmtId="0" fontId="5" fillId="2" borderId="1" applyAlignment="1" pivotButton="0" quotePrefix="0" xfId="0">
      <alignment horizontal="center" vertical="center" wrapText="1" readingOrder="2"/>
    </xf>
    <xf numFmtId="0" fontId="0" fillId="0" borderId="1" applyAlignment="1" pivotButton="0" quotePrefix="0" xfId="0">
      <alignment horizontal="center" vertical="center" wrapText="1" readingOrder="2"/>
    </xf>
    <xf numFmtId="0" fontId="6" fillId="0" borderId="1" applyAlignment="1" pivotButton="0" quotePrefix="0" xfId="1">
      <alignment vertical="center" readingOrder="2"/>
    </xf>
    <xf numFmtId="0" fontId="0" fillId="0" borderId="1" applyAlignment="1" pivotButton="0" quotePrefix="0" xfId="0">
      <alignment horizontal="right" vertical="center" wrapText="1" readingOrder="2"/>
    </xf>
    <xf numFmtId="164" fontId="7" fillId="3" borderId="1" applyAlignment="1" pivotButton="0" quotePrefix="0" xfId="0">
      <alignment vertical="center" readingOrder="2"/>
    </xf>
    <xf numFmtId="164" fontId="0" fillId="0" borderId="1" applyAlignment="1" pivotButton="0" quotePrefix="0" xfId="0">
      <alignment vertical="center" readingOrder="2"/>
    </xf>
    <xf numFmtId="164" fontId="1" fillId="4" borderId="1" applyAlignment="1" pivotButton="0" quotePrefix="0" xfId="0">
      <alignment vertical="center" readingOrder="2"/>
    </xf>
    <xf numFmtId="164" fontId="1" fillId="5" borderId="1" applyAlignment="1" pivotButton="0" quotePrefix="0" xfId="0">
      <alignment vertical="center" readingOrder="2"/>
    </xf>
    <xf numFmtId="0" fontId="8" fillId="0" borderId="1" applyAlignment="1" pivotButton="0" quotePrefix="0" xfId="0">
      <alignment horizontal="right" vertical="center" wrapText="1" readingOrder="2"/>
    </xf>
    <xf numFmtId="0" fontId="9" fillId="6" borderId="1" applyAlignment="1" pivotButton="0" quotePrefix="0" xfId="0">
      <alignment horizontal="right" vertical="center" readingOrder="2"/>
    </xf>
    <xf numFmtId="0" fontId="4" fillId="0" borderId="1" applyAlignment="1" pivotButton="0" quotePrefix="0" xfId="0">
      <alignment horizontal="right" vertical="center" wrapText="1" readingOrder="2"/>
    </xf>
    <xf numFmtId="165" fontId="0" fillId="0" borderId="1" applyAlignment="1" pivotButton="0" quotePrefix="0" xfId="0">
      <alignment vertical="center" readingOrder="2"/>
    </xf>
    <xf numFmtId="166" fontId="0" fillId="0" borderId="1" applyAlignment="1" pivotButton="0" quotePrefix="0" xfId="0">
      <alignment vertical="center" readingOrder="2"/>
    </xf>
    <xf numFmtId="165" fontId="1" fillId="5" borderId="1" applyAlignment="1" pivotButton="0" quotePrefix="0" xfId="0">
      <alignment vertical="center" readingOrder="2"/>
    </xf>
    <xf numFmtId="167" fontId="1" fillId="5" borderId="1" applyAlignment="1" pivotButton="0" quotePrefix="0" xfId="0">
      <alignment vertical="center" readingOrder="2"/>
    </xf>
    <xf numFmtId="0" fontId="1" fillId="5" borderId="0" applyAlignment="1" pivotButton="0" quotePrefix="0" xfId="0">
      <alignment horizontal="right" vertical="center" readingOrder="2"/>
    </xf>
    <xf numFmtId="0" fontId="1" fillId="5" borderId="1" applyAlignment="1" pivotButton="0" quotePrefix="0" xfId="0">
      <alignment vertical="center" readingOrder="2"/>
    </xf>
    <xf numFmtId="0" fontId="7" fillId="3" borderId="1" applyAlignment="1" pivotButton="0" quotePrefix="0" xfId="0">
      <alignment horizontal="right" vertical="center" wrapText="1" readingOrder="2"/>
    </xf>
    <xf numFmtId="168" fontId="7" fillId="3" borderId="1" applyAlignment="1" pivotButton="0" quotePrefix="0" xfId="0">
      <alignment horizontal="center" vertical="center" readingOrder="2"/>
    </xf>
    <xf numFmtId="169" fontId="7" fillId="3" borderId="1" applyAlignment="1" pivotButton="0" quotePrefix="0" xfId="0">
      <alignment vertical="center" readingOrder="2"/>
    </xf>
    <xf numFmtId="165" fontId="7" fillId="3" borderId="1" applyAlignment="1" pivotButton="0" quotePrefix="0" xfId="0">
      <alignment vertical="center" readingOrder="2"/>
    </xf>
    <xf numFmtId="170" fontId="7" fillId="3" borderId="1" applyAlignment="1" pivotButton="0" quotePrefix="0" xfId="0">
      <alignment vertical="center" readingOrder="2"/>
    </xf>
    <xf numFmtId="166" fontId="7" fillId="3" borderId="1" applyAlignment="1" pivotButton="0" quotePrefix="0" xfId="0">
      <alignment vertical="center" readingOrder="2"/>
    </xf>
    <xf numFmtId="0" fontId="1" fillId="4" borderId="1" applyAlignment="1" pivotButton="0" quotePrefix="0" xfId="0">
      <alignment vertical="center" readingOrder="2"/>
    </xf>
    <xf numFmtId="166" fontId="1" fillId="5" borderId="1" applyAlignment="1" pivotButton="0" quotePrefix="0" xfId="0">
      <alignment vertical="center" readingOrder="2"/>
    </xf>
    <xf numFmtId="170" fontId="0" fillId="0" borderId="1" applyAlignment="1" pivotButton="0" quotePrefix="0" xfId="0">
      <alignment vertical="center" readingOrder="2"/>
    </xf>
    <xf numFmtId="0" fontId="1" fillId="0" borderId="1" applyAlignment="1" pivotButton="0" quotePrefix="0" xfId="0">
      <alignment horizontal="right" vertical="center" wrapText="1" readingOrder="2"/>
    </xf>
    <xf numFmtId="166" fontId="1" fillId="4" borderId="1" applyAlignment="1" pivotButton="0" quotePrefix="0" xfId="0">
      <alignment vertical="center" readingOrder="2"/>
    </xf>
    <xf numFmtId="171" fontId="0" fillId="0" borderId="1" applyAlignment="1" pivotButton="0" quotePrefix="0" xfId="0">
      <alignment vertical="center" readingOrder="2"/>
    </xf>
    <xf numFmtId="0" fontId="1" fillId="0" borderId="1" applyAlignment="1" pivotButton="0" quotePrefix="0" xfId="0">
      <alignment horizontal="center" vertical="center" wrapText="1" readingOrder="2"/>
    </xf>
    <xf numFmtId="172" fontId="5" fillId="2" borderId="1" applyAlignment="1" pivotButton="0" quotePrefix="0" xfId="0">
      <alignment horizontal="center" vertical="center" wrapText="1" readingOrder="2"/>
    </xf>
    <xf numFmtId="173" fontId="5" fillId="2" borderId="1" applyAlignment="1" pivotButton="0" quotePrefix="0" xfId="0">
      <alignment horizontal="center" vertical="center" wrapText="1" readingOrder="2"/>
    </xf>
    <xf numFmtId="9" fontId="7" fillId="3" borderId="1" applyAlignment="1" pivotButton="0" quotePrefix="0" xfId="0">
      <alignment vertical="center" readingOrder="2"/>
    </xf>
    <xf numFmtId="1" fontId="5" fillId="2" borderId="1" applyAlignment="1" pivotButton="0" quotePrefix="0" xfId="0">
      <alignment horizontal="center" vertical="center" wrapText="1" readingOrder="2"/>
    </xf>
    <xf numFmtId="168" fontId="9" fillId="6" borderId="1" applyAlignment="1" pivotButton="0" quotePrefix="0" xfId="0">
      <alignment horizontal="right" vertical="center" readingOrder="2"/>
    </xf>
    <xf numFmtId="168" fontId="0" fillId="0" borderId="1" applyAlignment="1" pivotButton="0" quotePrefix="0" xfId="0">
      <alignment horizontal="center" vertical="center" readingOrder="2"/>
    </xf>
    <xf numFmtId="0" fontId="9" fillId="6" borderId="1" applyAlignment="1" pivotButton="0" quotePrefix="0" xfId="0">
      <alignment horizontal="right" vertical="center" wrapText="1" readingOrder="2"/>
    </xf>
    <xf numFmtId="0" fontId="0" fillId="0" borderId="1" applyAlignment="1" pivotButton="0" quotePrefix="0" xfId="0">
      <alignment horizontal="right" vertical="center" wrapText="1" readingOrder="2"/>
    </xf>
    <xf numFmtId="169" fontId="0" fillId="0" borderId="1" applyAlignment="1" pivotButton="0" quotePrefix="0" xfId="0">
      <alignment vertical="center" readingOrder="2"/>
    </xf>
    <xf numFmtId="9" fontId="0" fillId="0" borderId="1" applyAlignment="1" pivotButton="0" quotePrefix="0" xfId="0">
      <alignment vertical="center" readingOrder="2"/>
    </xf>
    <xf numFmtId="165" fontId="1" fillId="4" borderId="1" applyAlignment="1" pivotButton="0" quotePrefix="0" xfId="0">
      <alignment vertical="center" readingOrder="2"/>
    </xf>
    <xf numFmtId="164" fontId="1" fillId="0" borderId="1" applyAlignment="1" pivotButton="0" quotePrefix="0" xfId="0">
      <alignment vertical="center" readingOrder="2"/>
    </xf>
    <xf numFmtId="2" fontId="0" fillId="0" borderId="1" applyAlignment="1" pivotButton="0" quotePrefix="0" xfId="0">
      <alignment vertical="center" readingOrder="2"/>
    </xf>
    <xf numFmtId="167" fontId="0" fillId="0" borderId="1" applyAlignment="1" pivotButton="0" quotePrefix="0" xfId="0">
      <alignment vertical="center" readingOrder="2"/>
    </xf>
    <xf numFmtId="9" fontId="1" fillId="0" borderId="1" applyAlignment="1" pivotButton="0" quotePrefix="0" xfId="0">
      <alignment horizontal="center" vertical="center" readingOrder="2"/>
    </xf>
    <xf numFmtId="174" fontId="0" fillId="0" borderId="1" applyAlignment="1" pivotButton="0" quotePrefix="0" xfId="0">
      <alignment horizontal="center" vertical="center" readingOrder="2"/>
    </xf>
    <xf numFmtId="174" fontId="0" fillId="0" borderId="1" applyAlignment="1" pivotButton="0" quotePrefix="0" xfId="0">
      <alignment horizontal="center" vertical="center" readingOrder="2"/>
    </xf>
  </cellXfs>
  <cellStyles count="2">
    <cellStyle name="Normal" xfId="0" builtinId="0"/>
    <cellStyle name="Hyperlink" xfId="1" builtinId="8"/>
  </cellStyles>
  <dxfs count="9">
    <dxf>
      <fill>
        <patternFill>
          <bgColor rgb="FFE2EFDA"/>
        </patternFill>
      </fill>
    </dxf>
    <dxf>
      <font>
        <color rgb="FFC00000"/>
      </font>
      <fill>
        <patternFill>
          <bgColor rgb="FFF8CBAD"/>
        </patternFill>
      </fill>
    </dxf>
    <dxf>
      <font>
        <color rgb="FFC00000"/>
      </font>
      <fill>
        <patternFill>
          <bgColor rgb="FFF8CBAD"/>
        </patternFill>
      </fill>
    </dxf>
    <dxf>
      <font>
        <color rgb="FFC00000"/>
      </font>
      <fill>
        <patternFill>
          <bgColor rgb="FFF8CBAD"/>
        </patternFill>
      </fill>
    </dxf>
    <dxf>
      <font>
        <color rgb="FFC00000"/>
      </font>
      <fill>
        <patternFill>
          <bgColor rgb="FFF8CBAD"/>
        </patternFill>
      </fill>
    </dxf>
    <dxf>
      <font>
        <color rgb="FFC00000"/>
      </font>
      <fill>
        <patternFill>
          <bgColor rgb="FFF8CBAD"/>
        </patternFill>
      </fill>
    </dxf>
    <dxf>
      <font>
        <color rgb="FFC00000"/>
      </font>
      <fill>
        <patternFill>
          <bgColor rgb="FFFCE4D6"/>
        </patternFill>
      </fill>
    </dxf>
    <dxf>
      <font>
        <color rgb="FFC00000"/>
      </font>
      <fill>
        <patternFill>
          <bgColor rgb="FFFCE4D6"/>
        </patternFill>
      </fill>
    </dxf>
    <dxf>
      <fill>
        <patternFill>
          <bgColor rgb="FF2F75B5"/>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styles" Target="styles.xml" Id="rId23"/><Relationship Type="http://schemas.openxmlformats.org/officeDocument/2006/relationships/theme" Target="theme/theme1.xml" Id="rId24"/></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الإيرادات والتكاليف وصافي الربح (ر.ع)</a:t>
            </a:r>
          </a:p>
        </rich>
      </tx>
    </title>
    <plotArea>
      <barChart>
        <barDir val="col"/>
        <grouping val="clustered"/>
        <ser>
          <idx val="0"/>
          <order val="0"/>
          <tx>
            <v>الإيرادات</v>
          </tx>
          <spPr>
            <a:ln xmlns:a="http://schemas.openxmlformats.org/drawingml/2006/main">
              <a:prstDash val="solid"/>
            </a:ln>
          </spPr>
          <cat>
            <numRef>
              <f>'قائمة الدخل'!$D$4:$H$4</f>
            </numRef>
          </cat>
          <val>
            <numRef>
              <f>'قائمة الدخل'!$D$5:$H$5</f>
            </numRef>
          </val>
        </ser>
        <ser>
          <idx val="1"/>
          <order val="1"/>
          <tx>
            <v>إجمالي التكاليف التشغيلية</v>
          </tx>
          <spPr>
            <a:ln xmlns:a="http://schemas.openxmlformats.org/drawingml/2006/main">
              <a:prstDash val="solid"/>
            </a:ln>
          </spPr>
          <cat>
            <numRef>
              <f>'قائمة الدخل'!$D$4:$H$4</f>
            </numRef>
          </cat>
          <val>
            <numRef>
              <f>'قائمة الدخل'!$D$9:$H$9</f>
            </numRef>
          </val>
        </ser>
        <ser>
          <idx val="2"/>
          <order val="2"/>
          <tx>
            <v>صافي الربح بعد الضريبة</v>
          </tx>
          <spPr>
            <a:ln xmlns:a="http://schemas.openxmlformats.org/drawingml/2006/main">
              <a:prstDash val="solid"/>
            </a:ln>
          </spPr>
          <cat>
            <numRef>
              <f>'قائمة الدخل'!$D$4:$H$4</f>
            </numRef>
          </cat>
          <val>
            <numRef>
              <f>'قائمة الدخل'!$D$20:$H$20</f>
            </numRef>
          </val>
        </ser>
        <gapWidth val="150"/>
        <axId val="10"/>
        <axId val="100"/>
      </barChart>
      <catAx>
        <axId val="10"/>
        <scaling>
          <orientation val="minMax"/>
        </scaling>
        <delete val="0"/>
        <axPos val="l"/>
        <majorTickMark val="none"/>
        <minorTickMark val="none"/>
        <crossAx val="100"/>
        <lblOffset val="100"/>
      </catAx>
      <valAx>
        <axId val="100"/>
        <scaling>
          <orientation val="minMax"/>
        </scaling>
        <delete val="0"/>
        <axPos val="l"/>
        <majorGridlines/>
        <numFmt formatCode="#,##0" sourceLinked="0"/>
        <majorTickMark val="none"/>
        <minorTickMark val="none"/>
        <crossAx val="10"/>
      </valAx>
    </plotArea>
    <legend>
      <legendPos val="b"/>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التدفق النقدي التراكمي للمشروع (ر.ع)</a:t>
            </a:r>
          </a:p>
        </rich>
      </tx>
    </title>
    <plotArea>
      <barChart>
        <barDir val="col"/>
        <grouping val="clustered"/>
        <ser>
          <idx val="0"/>
          <order val="0"/>
          <tx>
            <v>التدفق التراكمي</v>
          </tx>
          <spPr>
            <a:ln xmlns:a="http://schemas.openxmlformats.org/drawingml/2006/main">
              <a:prstDash val="solid"/>
            </a:ln>
          </spPr>
          <cat>
            <numRef>
              <f>'التدفقات النقدية'!$C$4:$H$4</f>
            </numRef>
          </cat>
          <val>
            <numRef>
              <f>'التدفقات النقدية'!$C$15:$H$15</f>
            </numRef>
          </val>
        </ser>
        <gapWidth val="150"/>
        <axId val="10"/>
        <axId val="100"/>
      </barChart>
      <catAx>
        <axId val="10"/>
        <scaling>
          <orientation val="minMax"/>
        </scaling>
        <delete val="0"/>
        <axPos val="l"/>
        <numFmt formatCode="&quot;السنة &quot;0;;&quot;التأسيس&quot;" sourceLinked="0"/>
        <majorTickMark val="none"/>
        <minorTickMark val="none"/>
        <crossAx val="100"/>
        <lblOffset val="100"/>
      </catAx>
      <valAx>
        <axId val="100"/>
        <scaling>
          <orientation val="minMax"/>
        </scaling>
        <delete val="0"/>
        <axPos val="l"/>
        <majorGridlines/>
        <numFmt formatCode="#,##0" sourceLinked="0"/>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5</col>
      <colOff>0</colOff>
      <row>3</row>
      <rowOff>0</rowOff>
    </from>
    <ext cx="612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5</col>
      <colOff>0</colOff>
      <row>23</row>
      <rowOff>0</rowOff>
    </from>
    <ext cx="6120000" cy="270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FF1F3864"/>
    <outlinePr summaryBelow="1" summaryRight="1"/>
    <pageSetUpPr fitToPage="1"/>
  </sheetPr>
  <dimension ref="A2:C36"/>
  <sheetViews>
    <sheetView showGridLines="0" rightToLeft="1" tabSelected="1" zoomScale="90" zoomScaleNormal="90" workbookViewId="0">
      <selection activeCell="A1" sqref="A1"/>
    </sheetView>
  </sheetViews>
  <sheetFormatPr baseColWidth="8" defaultRowHeight="12.75"/>
  <cols>
    <col width="6.7109375" customWidth="1" style="1" min="1" max="1"/>
    <col width="36.7109375" customWidth="1" style="1" min="2" max="2"/>
    <col width="78.7109375" customWidth="1" style="1" min="3" max="3"/>
    <col width="9.140625" customWidth="1" style="1" min="4" max="16384"/>
  </cols>
  <sheetData>
    <row r="2" ht="20.25" customHeight="1">
      <c r="B2" s="3" t="inlineStr">
        <is>
          <t>دراسة الجدوى الاقتصادية والفنية</t>
        </is>
      </c>
    </row>
    <row r="3" ht="15.75" customHeight="1">
      <c r="B3" s="4" t="inlineStr">
        <is>
          <t>مشروع استخراج خام الكروم (محجر كروم) — محافظة شمال الشرقية، سلطنة عُمان</t>
        </is>
      </c>
    </row>
    <row r="4">
      <c r="B4" s="5" t="inlineStr">
        <is>
          <t>Chromite Quarry Project — Technical &amp; Economic Feasibility Study (updated, fully linked model)</t>
        </is>
      </c>
    </row>
    <row r="5">
      <c r="B5" s="5" t="inlineStr">
        <is>
          <t>تاريخ التحديث: أكتوبر 2026 — العملة: ريال عُماني (ر.ع) — مدة الدراسة: سنة تأسيس + 5 سنوات تشغيل</t>
        </is>
      </c>
    </row>
    <row r="7">
      <c r="A7" s="6" t="inlineStr">
        <is>
          <t>م</t>
        </is>
      </c>
      <c r="B7" s="6" t="inlineStr">
        <is>
          <t>الورقة</t>
        </is>
      </c>
      <c r="C7" s="6" t="inlineStr">
        <is>
          <t>المحتوى</t>
        </is>
      </c>
    </row>
    <row r="8">
      <c r="A8" s="7" t="n">
        <v>1</v>
      </c>
      <c r="B8" s="8" t="inlineStr">
        <is>
          <t>الملخص التنفيذي</t>
        </is>
      </c>
      <c r="C8" s="43" t="inlineStr">
        <is>
          <t>الملخص التنفيذي: أهم الأرقام والمؤشرات والخلاصة</t>
        </is>
      </c>
    </row>
    <row r="9">
      <c r="A9" s="7" t="n">
        <v>2</v>
      </c>
      <c r="B9" s="8" t="inlineStr">
        <is>
          <t>الافتراضات</t>
        </is>
      </c>
      <c r="C9" s="43" t="inlineStr">
        <is>
          <t>جميع الافتراضات والمدخلات الرئيسية مع مصدر كل رقم وحالته</t>
        </is>
      </c>
    </row>
    <row r="10">
      <c r="A10" s="7" t="n">
        <v>3</v>
      </c>
      <c r="B10" s="8" t="inlineStr">
        <is>
          <t>التراخيص</t>
        </is>
      </c>
      <c r="C10" s="43" t="inlineStr">
        <is>
          <t>التراخيص المطلوبة ورسومها والإطار التنظيمي للقطاع</t>
        </is>
      </c>
    </row>
    <row r="11">
      <c r="A11" s="7" t="n">
        <v>4</v>
      </c>
      <c r="B11" s="8" t="inlineStr">
        <is>
          <t>السوق والسعر</t>
        </is>
      </c>
      <c r="C11" s="43" t="inlineStr">
        <is>
          <t>بيانات السوق والأسعار المرجعية، وبناء سعر التصدير، والبيع المحلي وسعر البيع المعتمد</t>
        </is>
      </c>
    </row>
    <row r="12">
      <c r="A12" s="7" t="n">
        <v>5</v>
      </c>
      <c r="B12" s="8" t="inlineStr">
        <is>
          <t>الخطة الفنية والإنتاج</t>
        </is>
      </c>
      <c r="C12" s="43" t="inlineStr">
        <is>
          <t>الطاقة الإنتاجية وبرنامج الإنتاج السنوي واستنزاف الاحتياطي</t>
        </is>
      </c>
    </row>
    <row r="13">
      <c r="A13" s="7" t="n">
        <v>6</v>
      </c>
      <c r="B13" s="8" t="inlineStr">
        <is>
          <t>الإنتاج الشهري</t>
        </is>
      </c>
      <c r="C13" s="43" t="inlineStr">
        <is>
          <t>توزيع الإنتاج على 60 شهراً حسب أيام العمل، مع مطابقة المجاميع السنوية</t>
        </is>
      </c>
    </row>
    <row r="14">
      <c r="A14" s="7" t="n">
        <v>7</v>
      </c>
      <c r="B14" s="8" t="inlineStr">
        <is>
          <t>الجدول الزمني</t>
        </is>
      </c>
      <c r="C14" s="43" t="inlineStr">
        <is>
          <t>مراحل وخطة تنفيذ المشروع بالتسلسل الصحيح (مخطط زمني)</t>
        </is>
      </c>
    </row>
    <row r="15">
      <c r="A15" s="7" t="n">
        <v>8</v>
      </c>
      <c r="B15" s="8" t="inlineStr">
        <is>
          <t>الأصول والإهلاك</t>
        </is>
      </c>
      <c r="C15" s="43" t="inlineStr">
        <is>
          <t>الأصول الثابتة وجدول الإهلاك والاستبدال</t>
        </is>
      </c>
    </row>
    <row r="16">
      <c r="A16" s="7" t="n">
        <v>9</v>
      </c>
      <c r="B16" s="8" t="inlineStr">
        <is>
          <t>مصاريف ما قبل التشغيل</t>
        </is>
      </c>
      <c r="C16" s="43" t="inlineStr">
        <is>
          <t>مصاريف ما قبل التشغيل وإطفاؤها</t>
        </is>
      </c>
    </row>
    <row r="17">
      <c r="A17" s="7" t="n">
        <v>10</v>
      </c>
      <c r="B17" s="8" t="inlineStr">
        <is>
          <t>الموارد البشرية</t>
        </is>
      </c>
      <c r="C17" s="43" t="inlineStr">
        <is>
          <t>الأجور والرواتب والتأمينات ومأذونيات العمل</t>
        </is>
      </c>
    </row>
    <row r="18">
      <c r="A18" s="7" t="n">
        <v>11</v>
      </c>
      <c r="B18" s="8" t="inlineStr">
        <is>
          <t>الإيجارات</t>
        </is>
      </c>
      <c r="C18" s="43" t="inlineStr">
        <is>
          <t>إيجار المواقع والمعدات والمركبات</t>
        </is>
      </c>
    </row>
    <row r="19">
      <c r="A19" s="7" t="n">
        <v>12</v>
      </c>
      <c r="B19" s="8" t="inlineStr">
        <is>
          <t>المواد المستهلكة</t>
        </is>
      </c>
      <c r="C19" s="43" t="inlineStr">
        <is>
          <t>الوقود والمواد المستهلكة</t>
        </is>
      </c>
    </row>
    <row r="20">
      <c r="A20" s="7" t="n">
        <v>13</v>
      </c>
      <c r="B20" s="8" t="inlineStr">
        <is>
          <t>الإيرادات</t>
        </is>
      </c>
      <c r="C20" s="43" t="inlineStr">
        <is>
          <t>الإيرادات السنوية</t>
        </is>
      </c>
    </row>
    <row r="21">
      <c r="A21" s="7" t="n">
        <v>14</v>
      </c>
      <c r="B21" s="8" t="inlineStr">
        <is>
          <t>التكاليف التشغيلية</t>
        </is>
      </c>
      <c r="C21" s="43" t="inlineStr">
        <is>
          <t>التكاليف التشغيلية السنوية (ثابتة ومتغيرة)</t>
        </is>
      </c>
    </row>
    <row r="22">
      <c r="A22" s="7" t="n">
        <v>15</v>
      </c>
      <c r="B22" s="8" t="inlineStr">
        <is>
          <t>التكلفة الاستثمارية والتمويل</t>
        </is>
      </c>
      <c r="C22" s="43" t="inlineStr">
        <is>
          <t>قائمة الدخل التقديرية لخمس سنوات</t>
        </is>
      </c>
    </row>
    <row r="23">
      <c r="A23" s="7" t="n">
        <v>16</v>
      </c>
      <c r="B23" s="8" t="inlineStr">
        <is>
          <t>قائمة الدخل</t>
        </is>
      </c>
      <c r="C23" s="43" t="inlineStr">
        <is>
          <t>قائمة الدخل التقديرية لعشر سنوات</t>
        </is>
      </c>
    </row>
    <row r="24">
      <c r="A24" s="7" t="n">
        <v>17</v>
      </c>
      <c r="B24" s="8" t="inlineStr">
        <is>
          <t>التدفقات النقدية</t>
        </is>
      </c>
      <c r="C24" s="43" t="inlineStr">
        <is>
          <t>قائمة التدفقات النقدية (قبل التمويل وبعده)</t>
        </is>
      </c>
    </row>
    <row r="25">
      <c r="A25" s="7" t="n">
        <v>18</v>
      </c>
      <c r="B25" s="8" t="inlineStr">
        <is>
          <t>المؤشرات المالية</t>
        </is>
      </c>
      <c r="C25" s="43" t="inlineStr">
        <is>
          <t>صافي القيمة الحالية، معدل العائد الداخلي، فترة الاسترداد، نقطة التعادل</t>
        </is>
      </c>
    </row>
    <row r="26">
      <c r="A26" s="7" t="n">
        <v>19</v>
      </c>
      <c r="B26" s="8" t="inlineStr">
        <is>
          <t>تحليل الحساسية</t>
        </is>
      </c>
      <c r="C26" s="43" t="inlineStr">
        <is>
          <t>تحليل الحساسية للسعر والكمية والتكاليف</t>
        </is>
      </c>
    </row>
    <row r="27">
      <c r="A27" s="7" t="n">
        <v>20</v>
      </c>
      <c r="B27" s="8" t="inlineStr">
        <is>
          <t>المخاطر و SWOT</t>
        </is>
      </c>
      <c r="C27" s="43" t="inlineStr">
        <is>
          <t>تحليل SWOT وسجل المخاطر وإجراءات التخفيف</t>
        </is>
      </c>
    </row>
    <row r="28">
      <c r="A28" s="7" t="n">
        <v>21</v>
      </c>
      <c r="B28" s="8" t="inlineStr">
        <is>
          <t>التصحيحات والمصادر</t>
        </is>
      </c>
      <c r="C28" s="43" t="inlineStr">
        <is>
          <t>ما تم تصحيحه في الدراسة الأصلية، البنود التي تحتاج تأكيداً، والمصادر</t>
        </is>
      </c>
    </row>
    <row r="29" ht="15.75" customHeight="1">
      <c r="B29" s="4" t="inlineStr">
        <is>
          <t>دليل الألوان</t>
        </is>
      </c>
    </row>
    <row r="30">
      <c r="B30" s="10" t="n">
        <v>1000</v>
      </c>
      <c r="C30" s="43" t="inlineStr">
        <is>
          <t>خلية مدخلات (خط أزرق وخلفية صفراء): يمكن تعديلها، وكل النتائج تُعاد احتسابها تلقائياً</t>
        </is>
      </c>
    </row>
    <row r="31">
      <c r="B31" s="11" t="n">
        <v>1000</v>
      </c>
      <c r="C31" s="43" t="inlineStr">
        <is>
          <t>خلية محتسبة بمعادلة (خط أسود): لا تُعدَّل</t>
        </is>
      </c>
    </row>
    <row r="32">
      <c r="B32" s="12" t="n">
        <v>1000</v>
      </c>
      <c r="C32" s="43" t="inlineStr">
        <is>
          <t>إجمالي</t>
        </is>
      </c>
    </row>
    <row r="33">
      <c r="B33" s="13" t="n">
        <v>1000</v>
      </c>
      <c r="C33" s="43" t="inlineStr">
        <is>
          <t>نتيجة رئيسية</t>
        </is>
      </c>
    </row>
    <row r="35" ht="15.75" customHeight="1">
      <c r="B35" s="4" t="inlineStr">
        <is>
          <t>تنبيه مهم</t>
        </is>
      </c>
    </row>
    <row r="36" ht="38.25" customHeight="1">
      <c r="C36" s="14" t="inlineStr">
        <is>
          <t>نتائج هذه الدراسة تعتمد على افتراضات جيولوجية وسوقية لم ترد في الملف الأصلي (الاحتياطي، درجة الخام، نسبة التعرية، سعر البيع). يجب استبدالها بالأرقام الفعلية من التقرير الاستكشافي وعقد البيع قبل تقديم الدراسة لأي جهة — انظر ورقة «التصحيحات والمصادر».</t>
        </is>
      </c>
    </row>
  </sheetData>
  <hyperlinks>
    <hyperlink ref="B8" location="'الملخص التنفيذي'!A1" display="الملخص التنفيذي"/>
    <hyperlink ref="B9" location="'الافتراضات'!A1" display="الافتراضات"/>
    <hyperlink ref="B10" location="'التراخيص'!A1" display="التراخيص"/>
    <hyperlink ref="B11" location="'السوق والسعر'!A1" display="السوق والسعر"/>
    <hyperlink ref="B12" location="'الخطة الفنية والإنتاج'!A1" display="الخطة الفنية والإنتاج"/>
    <hyperlink ref="B13" location="'الإنتاج الشهري'!A1" display="الإنتاج الشهري"/>
    <hyperlink ref="B14" location="'الجدول الزمني'!A1" display="الجدول الزمني"/>
    <hyperlink ref="B15" location="'الأصول والإهلاك'!A1" display="الأصول والإهلاك"/>
    <hyperlink ref="B16" location="'مصاريف ما قبل التشغيل'!A1" display="مصاريف ما قبل التشغيل"/>
    <hyperlink ref="B17" location="'الموارد البشرية'!A1" display="الموارد البشرية"/>
    <hyperlink ref="B18" location="'الإيجارات'!A1" display="الإيجارات"/>
    <hyperlink ref="B19" location="'المواد المستهلكة'!A1" display="المواد المستهلكة"/>
    <hyperlink ref="B20" location="'الإيرادات'!A1" display="الإيرادات"/>
    <hyperlink ref="B21" location="'التكاليف التشغيلية'!A1" display="التكاليف التشغيلية"/>
    <hyperlink ref="B22" location="'التكلفة الاستثمارية والتمويل'!A1" display="التكلفة الاستثمارية والتمويل"/>
    <hyperlink ref="B23" location="'قائمة الدخل'!A1" display="قائمة الدخل"/>
    <hyperlink ref="B24" location="'التدفقات النقدية'!A1" display="التدفقات النقدية"/>
    <hyperlink ref="B25" location="'المؤشرات المالية'!A1" display="المؤشرات المالية"/>
    <hyperlink ref="B26" location="'تحليل الحساسية'!A1" display="تحليل الحساسية"/>
    <hyperlink ref="B27" location="'المخاطر و SWOT'!A1" display="المخاطر و SWOT"/>
    <hyperlink ref="B28" location="'التصحيحات والمصادر'!A1" display="التصحيحات والمصادر"/>
  </hyperlinks>
  <pageMargins left="0.3888888888888889" right="0.3888888888888889" top="0.5" bottom="0.5" header="0.3" footer="0.3"/>
  <pageSetup orientation="landscape" paperSize="9" fitToHeight="0" verticalDpi="0"/>
  <headerFooter>
    <oddHeader/>
    <oddFooter>&amp;C&amp;P / &amp;N</oddFooter>
    <evenHeader/>
    <evenFooter/>
    <firstHeader/>
    <firstFooter/>
  </headerFooter>
</worksheet>
</file>

<file path=xl/worksheets/sheet2.xml><?xml version="1.0" encoding="utf-8"?>
<worksheet xmlns="http://schemas.openxmlformats.org/spreadsheetml/2006/main">
  <sheetPr>
    <tabColor rgb="FF1F3864"/>
    <outlinePr summaryBelow="1" summaryRight="1"/>
    <pageSetUpPr fitToPage="1"/>
  </sheetPr>
  <dimension ref="A1:D35"/>
  <sheetViews>
    <sheetView showGridLines="0" rightToLeft="1" zoomScale="90" zoomScaleNormal="90" workbookViewId="0">
      <selection activeCell="A1" sqref="A1"/>
    </sheetView>
  </sheetViews>
  <sheetFormatPr baseColWidth="8" defaultRowHeight="12.75"/>
  <cols>
    <col width="46.7109375" customWidth="1" style="1" min="1" max="1"/>
    <col width="18.7109375" customWidth="1" style="1" min="2" max="2"/>
    <col width="16.7109375" customWidth="1" style="1" min="3" max="3"/>
    <col width="50.7109375" customWidth="1" style="1" min="4" max="4"/>
    <col width="3.7109375" customWidth="1" style="1" min="5" max="5"/>
    <col width="11.7109375" customWidth="1" style="1" min="6" max="13"/>
    <col width="9.140625" customWidth="1" style="1" min="14" max="16384"/>
  </cols>
  <sheetData>
    <row r="1" ht="20.25" customHeight="1">
      <c r="A1" s="3" t="inlineStr">
        <is>
          <t>الملخص التنفيذي</t>
        </is>
      </c>
    </row>
    <row r="2">
      <c r="A2" s="5" t="inlineStr">
        <is>
          <t>جميع الأرقام مرتبطة بأوراق الدراسة وتتحدّث تلقائياً عند تعديل الافتراضات</t>
        </is>
      </c>
    </row>
    <row r="4">
      <c r="A4" s="6" t="inlineStr">
        <is>
          <t>المؤشر</t>
        </is>
      </c>
      <c r="B4" s="6" t="inlineStr">
        <is>
          <t>القيمة</t>
        </is>
      </c>
      <c r="C4" s="6" t="inlineStr">
        <is>
          <t>الوحدة</t>
        </is>
      </c>
      <c r="D4" s="6" t="inlineStr">
        <is>
          <t>ملاحظات</t>
        </is>
      </c>
    </row>
    <row r="5">
      <c r="A5" s="15" t="inlineStr">
        <is>
          <t>أولاً: المشروع</t>
        </is>
      </c>
      <c r="B5" s="15" t="n"/>
      <c r="C5" s="15" t="n"/>
      <c r="D5" s="15" t="n"/>
    </row>
    <row r="6">
      <c r="A6" s="43" t="inlineStr">
        <is>
          <t>الطاقة الإنتاجية — خام قابل للبيع</t>
        </is>
      </c>
      <c r="B6" s="11">
        <f>SaleCap</f>
        <v>60000</v>
      </c>
      <c r="C6" s="7" t="inlineStr">
        <is>
          <t>طن/سنة</t>
        </is>
      </c>
      <c r="D6" s="16" t="inlineStr">
        <is>
          <t>معطى من المالك — 60,000 طن صافٍ سنوياً</t>
        </is>
      </c>
    </row>
    <row r="7">
      <c r="A7" s="43" t="inlineStr">
        <is>
          <t>متوسط درجة الخام</t>
        </is>
      </c>
      <c r="B7" s="17">
        <f>OreGrade</f>
        <v>0.32</v>
      </c>
      <c r="C7" s="7" t="inlineStr">
        <is>
          <t>Cr2O3</t>
        </is>
      </c>
      <c r="D7" s="16" t="inlineStr">
        <is>
          <t>افتراض — يُستبدل بنتائج المختبر</t>
        </is>
      </c>
    </row>
    <row r="8">
      <c r="A8" s="43" t="inlineStr">
        <is>
          <t>سعر البيع عند موقع التجميع</t>
        </is>
      </c>
      <c r="B8" s="18">
        <f>SalePrice</f>
        <v>38.66</v>
      </c>
      <c r="C8" s="7" t="inlineStr">
        <is>
          <t>ر.ع/طن</t>
        </is>
      </c>
      <c r="D8" s="16" t="str">
        <f>"بيع محلي "&amp;TEXT(LocalShare,"0%")&amp;" + تصدير "&amp;TEXT(1-LocalShare,"0%")&amp;" — متوسط مرجّح من ورقة «السوق والسعر»"</f>
        <v>بيع محلي 100% + تصدير 0% — متوسط مرجّح من ورقة «السوق والسعر»</v>
      </c>
    </row>
    <row r="9">
      <c r="A9" s="43" t="inlineStr">
        <is>
          <t>عدد العاملين</t>
        </is>
      </c>
      <c r="B9" s="11">
        <f>'الموارد البشرية'!D17</f>
        <v>18</v>
      </c>
      <c r="C9" s="7" t="inlineStr">
        <is>
          <t>عامل</t>
        </is>
      </c>
      <c r="D9" s="16" t="n"/>
    </row>
    <row r="10">
      <c r="A10" s="43" t="inlineStr">
        <is>
          <t>نسبة التعمين</t>
        </is>
      </c>
      <c r="B10" s="17">
        <f>'الموارد البشرية'!B22</f>
        <v>0.555555555555556</v>
      </c>
      <c r="C10" s="7" t="inlineStr">
        <is>
          <t>%</t>
        </is>
      </c>
      <c r="D10" s="16" t="n"/>
    </row>
    <row r="11">
      <c r="A11" s="15" t="inlineStr">
        <is>
          <t>ثانياً: الاستثمار والتمويل</t>
        </is>
      </c>
      <c r="B11" s="15" t="n"/>
      <c r="C11" s="15" t="n"/>
      <c r="D11" s="15" t="n"/>
    </row>
    <row r="12">
      <c r="A12" s="43" t="inlineStr">
        <is>
          <t>إجمالي التكلفة الاستثمارية</t>
        </is>
      </c>
      <c r="B12" s="13">
        <f>TotalInv</f>
        <v>504507.536</v>
      </c>
      <c r="C12" s="7" t="inlineStr">
        <is>
          <t>ر.ع</t>
        </is>
      </c>
      <c r="D12" s="16" t="inlineStr">
        <is>
          <t>أصول ثابتة + ما قبل التشغيل + ضمانات بنكية + رأس مال عامل</t>
        </is>
      </c>
    </row>
    <row r="13">
      <c r="A13" s="43" t="inlineStr">
        <is>
          <t>منها: مصاريف استكشاف مدفوعة سابقاً</t>
        </is>
      </c>
      <c r="B13" s="11">
        <f>SunkCost</f>
        <v>200000</v>
      </c>
      <c r="C13" s="7" t="inlineStr">
        <is>
          <t>ر.ع</t>
        </is>
      </c>
      <c r="D13" s="16" t="inlineStr">
        <is>
          <t>مساهمة المالك المنفذة خلال السنوات الثلاث الماضية</t>
        </is>
      </c>
    </row>
    <row r="14">
      <c r="A14" s="43" t="inlineStr">
        <is>
          <t>الاستثمار الجديد المطلوب</t>
        </is>
      </c>
      <c r="B14" s="11">
        <f>NewInv</f>
        <v>304507.536</v>
      </c>
      <c r="C14" s="7" t="inlineStr">
        <is>
          <t>ر.ع</t>
        </is>
      </c>
      <c r="D14" s="16" t="n"/>
    </row>
    <row r="15">
      <c r="A15" s="43" t="inlineStr">
        <is>
          <t>القرض البنكي المفترض</t>
        </is>
      </c>
      <c r="B15" s="11">
        <f>Loan</f>
        <v>150000</v>
      </c>
      <c r="C15" s="7" t="inlineStr">
        <is>
          <t>ر.ع</t>
        </is>
      </c>
      <c r="D15" s="16" t="inlineStr">
        <is>
          <t>افتراض — يُعدَّل حسب شروط الجهة الممولة</t>
        </is>
      </c>
    </row>
    <row r="16">
      <c r="A16" s="15" t="inlineStr">
        <is>
          <t>ثالثاً: التشغيل في السنة الثالثة (منتصف مدة الدراسة)</t>
        </is>
      </c>
      <c r="B16" s="15" t="n"/>
      <c r="C16" s="15" t="n"/>
      <c r="D16" s="15" t="n"/>
    </row>
    <row r="17">
      <c r="A17" s="43" t="inlineStr">
        <is>
          <t>الإيرادات</t>
        </is>
      </c>
      <c r="B17" s="11">
        <f>الإيرادات!F7</f>
        <v>2319600</v>
      </c>
      <c r="C17" s="7" t="inlineStr">
        <is>
          <t>ر.ع</t>
        </is>
      </c>
      <c r="D17" s="16" t="n"/>
    </row>
    <row r="18">
      <c r="A18" s="43" t="inlineStr">
        <is>
          <t>التكاليف التشغيلية النقدية (شاملة الإتاوة)</t>
        </is>
      </c>
      <c r="B18" s="11">
        <f>'التكاليف التشغيلية'!F31</f>
        <v>537366.42876748</v>
      </c>
      <c r="C18" s="7" t="inlineStr">
        <is>
          <t>ر.ع</t>
        </is>
      </c>
      <c r="D18" s="16" t="n"/>
    </row>
    <row r="19">
      <c r="A19" s="43" t="inlineStr">
        <is>
          <t>تكلفة الطن المباع</t>
        </is>
      </c>
      <c r="B19" s="18">
        <f>'التكاليف التشغيلية'!F32</f>
        <v>8.95610714612467</v>
      </c>
      <c r="C19" s="7" t="inlineStr">
        <is>
          <t>ر.ع/طن</t>
        </is>
      </c>
      <c r="D19" s="16" t="n"/>
    </row>
    <row r="20">
      <c r="A20" s="43" t="inlineStr">
        <is>
          <t>الربح قبل الفوائد والضرائب والإهلاك (EBITDA)</t>
        </is>
      </c>
      <c r="B20" s="11">
        <f>'قائمة الدخل'!F10</f>
        <v>1782233.57123252</v>
      </c>
      <c r="C20" s="7" t="inlineStr">
        <is>
          <t>ر.ع</t>
        </is>
      </c>
      <c r="D20" s="16" t="n"/>
    </row>
    <row r="21">
      <c r="A21" s="43" t="inlineStr">
        <is>
          <t>صافي الربح بعد الضريبة</t>
        </is>
      </c>
      <c r="B21" s="11">
        <f>'قائمة الدخل'!F20</f>
        <v>1460010.79399347</v>
      </c>
      <c r="C21" s="7" t="inlineStr">
        <is>
          <t>ر.ع</t>
        </is>
      </c>
      <c r="D21" s="16" t="n"/>
    </row>
    <row r="22">
      <c r="A22" s="15" t="inlineStr">
        <is>
          <t>رابعاً: مؤشرات الجدوى</t>
        </is>
      </c>
      <c r="B22" s="15" t="n"/>
      <c r="C22" s="15" t="n"/>
      <c r="D22" s="15" t="n"/>
    </row>
    <row r="23">
      <c r="A23" s="43" t="inlineStr">
        <is>
          <t>صافي القيمة الحالية (NPV)</t>
        </is>
      </c>
      <c r="B23" s="13">
        <f>K_NPV</f>
        <v>5125634.43403889</v>
      </c>
      <c r="C23" s="7" t="inlineStr">
        <is>
          <t>ر.ع</t>
        </is>
      </c>
      <c r="D23" s="16" t="inlineStr">
        <is>
          <t>على إجمالي الاستثمار شاملاً المصاريف السابقة، عند معدل الخصم المعتمد</t>
        </is>
      </c>
    </row>
    <row r="24">
      <c r="A24" s="43" t="inlineStr">
        <is>
          <t>معدل العائد الداخلي (IRR)</t>
        </is>
      </c>
      <c r="B24" s="19">
        <f>K_IRR</f>
        <v>3.09768202892893</v>
      </c>
      <c r="C24" s="7" t="inlineStr">
        <is>
          <t>%</t>
        </is>
      </c>
      <c r="D24" s="16" t="inlineStr">
        <is>
          <t>على إجمالي الاستثمار</t>
        </is>
      </c>
    </row>
    <row r="25">
      <c r="A25" s="43" t="inlineStr">
        <is>
          <t>معدل العائد الداخلي على الاستثمار الجديد فقط</t>
        </is>
      </c>
      <c r="B25" s="17">
        <f>K_IRRNew</f>
        <v>5.14438954060749</v>
      </c>
      <c r="C25" s="7" t="inlineStr">
        <is>
          <t>%</t>
        </is>
      </c>
      <c r="D25" s="16" t="inlineStr">
        <is>
          <t>باستبعاد المصاريف المدفوعة سابقاً (تكلفة غارقة)</t>
        </is>
      </c>
    </row>
    <row r="26">
      <c r="A26" s="43" t="inlineStr">
        <is>
          <t>فترة الاسترداد</t>
        </is>
      </c>
      <c r="B26" s="20">
        <f>K_Payback</f>
        <v>0.321099205457088</v>
      </c>
      <c r="C26" s="7" t="inlineStr">
        <is>
          <t>سنة</t>
        </is>
      </c>
      <c r="D26" s="16" t="inlineStr">
        <is>
          <t>من بداية الإنتاج</t>
        </is>
      </c>
    </row>
    <row r="27">
      <c r="A27" s="43" t="inlineStr">
        <is>
          <t>سعر التعادل</t>
        </is>
      </c>
      <c r="B27" s="18">
        <f>'المؤشرات المالية'!B29</f>
        <v>8.20503975816717</v>
      </c>
      <c r="C27" s="7" t="inlineStr">
        <is>
          <t>ر.ع/طن</t>
        </is>
      </c>
      <c r="D27" s="16" t="inlineStr">
        <is>
          <t>السعر الذي يغطي جميع التكاليف في سنة التشغيل الكامل</t>
        </is>
      </c>
    </row>
    <row r="28">
      <c r="A28" s="43" t="inlineStr">
        <is>
          <t>نسبة التعادل من الطاقة الإنتاجية</t>
        </is>
      </c>
      <c r="B28" s="17">
        <f>'المؤشرات المالية'!B28</f>
        <v>0.106620573744944</v>
      </c>
      <c r="C28" s="7" t="inlineStr">
        <is>
          <t>%</t>
        </is>
      </c>
      <c r="D28" s="16" t="n"/>
    </row>
    <row r="29">
      <c r="A29" s="15" t="inlineStr">
        <is>
          <t>خامساً: الخلاصة</t>
        </is>
      </c>
      <c r="B29" s="15" t="n"/>
      <c r="C29" s="15" t="n"/>
      <c r="D29" s="15" t="n"/>
    </row>
    <row r="30">
      <c r="A30" s="21" t="str">
        <f>IF(AND(ISNUMBER(K_IRR),K_NPV&gt;0),"النتيجة: المشروع مجدٍ اقتصادياً وفق الافتراضات الحالية — صافي القيمة الحالية موجب ومعدل العائد الداخلي أعلى من معدل الخصم.","النتيجة: المشروع غير مجدٍ وفق الافتراضات الحالية — صافي القيمة الحالية سالب عند معدل الخصم المعتمد.")</f>
        <v>النتيجة: المشروع مجدٍ اقتصادياً وفق الافتراضات الحالية — صافي القيمة الحالية موجب ومعدل العائد الداخلي أعلى من معدل الخصم.</v>
      </c>
      <c r="B30" s="22" t="n"/>
      <c r="C30" s="22" t="n"/>
      <c r="D30" s="22" t="n"/>
    </row>
    <row r="31">
      <c r="A31" s="2" t="inlineStr">
        <is>
          <t>1) الجدوى شديدة الحساسية لسعر البيع والكمية المباعة (نسبة التعرية ودرجة الخام) — انظر «تحليل الحساسية».</t>
        </is>
      </c>
    </row>
    <row r="32">
      <c r="A32" s="2" t="inlineStr">
        <is>
          <t>2) الاحتياطي والدرجة ونسبة التعرية افتراضات يجب استبدالها بنتائج التقرير الاستكشافي المعتمد.</t>
        </is>
      </c>
    </row>
    <row r="33">
      <c r="A33" s="2" t="inlineStr">
        <is>
          <t>3) القرار الوزاري 18/2025: التصدير حصري عبر شركة متاجرة المعادن، ولا يُصدَّر الخام غير المعالج بدرجة أقل من 36%.</t>
        </is>
      </c>
    </row>
    <row r="34">
      <c r="A34" s="2" t="inlineStr">
        <is>
          <t>4) تفاصيل ما تم تصحيحه والبنود التي تحتاج تأكيداً في ورقة «التصحيحات والمصادر».</t>
        </is>
      </c>
    </row>
    <row r="35">
      <c r="A35" s="2" t="str">
        <f>"5) الحفارات: "&amp;'الخطة الفنية والإنتاج'!C14&amp;" — الاحتياطي: "&amp;'الخطة الفنية والإنتاج'!B28</f>
        <v>5) الحفارات: كافية — المطلوب 86% من طاقة الحفارات — الاحتياطي: الاحتياطي المفترض كافٍ لخمس سنوات تشغيل</v>
      </c>
    </row>
  </sheetData>
  <pageMargins left="0.3888888888888889" right="0.3888888888888889" top="0.5" bottom="0.5" header="0.3" footer="0.3"/>
  <pageSetup orientation="landscape" paperSize="9" scale="59" fitToHeight="0" verticalDpi="0"/>
  <headerFooter>
    <oddHeader/>
    <oddFooter>&amp;C&amp;P / &amp;N</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tabColor rgb="FFBF8F00"/>
    <outlinePr summaryBelow="1" summaryRight="1"/>
    <pageSetUpPr fitToPage="1"/>
  </sheetPr>
  <dimension ref="A1:D64"/>
  <sheetViews>
    <sheetView showGridLines="0" rightToLeft="1" zoomScale="90" zoomScaleNormal="90" workbookViewId="0">
      <selection activeCell="A1" sqref="A1"/>
    </sheetView>
  </sheetViews>
  <sheetFormatPr baseColWidth="8" defaultRowHeight="12.75"/>
  <cols>
    <col width="50.7109375" customWidth="1" style="1" min="1" max="1"/>
    <col width="22.7109375" customWidth="1" style="1" min="2" max="2"/>
    <col width="18.7109375" customWidth="1" style="1" min="3" max="3"/>
    <col width="82.7109375" customWidth="1" style="1" min="4" max="4"/>
    <col width="9.140625" customWidth="1" style="1" min="5" max="16384"/>
  </cols>
  <sheetData>
    <row r="1" ht="20.25" customHeight="1">
      <c r="A1" s="3" t="inlineStr">
        <is>
          <t>الافتراضات والمدخلات الرئيسية</t>
        </is>
      </c>
    </row>
    <row r="2">
      <c r="A2" s="5" t="inlineStr">
        <is>
          <t>الخلايا الصفراء بخط أزرق مدخلات قابلة للتعديل. عمود «المصدر / الحالة» يبيّن: من الدراسة الأصلية — مصدر منشور — افتراض يحتاج تأكيداً</t>
        </is>
      </c>
    </row>
    <row r="4">
      <c r="A4" s="6" t="inlineStr">
        <is>
          <t>البند</t>
        </is>
      </c>
      <c r="B4" s="6" t="inlineStr">
        <is>
          <t>القيمة</t>
        </is>
      </c>
      <c r="C4" s="6" t="inlineStr">
        <is>
          <t>الوحدة</t>
        </is>
      </c>
      <c r="D4" s="6" t="inlineStr">
        <is>
          <t>المصدر / الحالة</t>
        </is>
      </c>
    </row>
    <row r="5">
      <c r="A5" s="15" t="inlineStr">
        <is>
          <t>أولاً: بيانات عامة</t>
        </is>
      </c>
      <c r="B5" s="15" t="n"/>
      <c r="C5" s="15" t="n"/>
      <c r="D5" s="15" t="n"/>
    </row>
    <row r="6">
      <c r="A6" s="43" t="inlineStr">
        <is>
          <t>اسم المشروع</t>
        </is>
      </c>
      <c r="B6" s="23" t="inlineStr">
        <is>
          <t>محجر خام الكروم</t>
        </is>
      </c>
      <c r="C6" s="7" t="inlineStr">
        <is>
          <t>—</t>
        </is>
      </c>
      <c r="D6" s="16" t="inlineStr">
        <is>
          <t>من الدراسة الأصلية</t>
        </is>
      </c>
    </row>
    <row r="7">
      <c r="A7" s="43" t="inlineStr">
        <is>
          <t>الموقع</t>
        </is>
      </c>
      <c r="B7" s="23" t="inlineStr">
        <is>
          <t>محافظة شمال الشرقية</t>
        </is>
      </c>
      <c r="C7" s="7" t="inlineStr">
        <is>
          <t>—</t>
        </is>
      </c>
      <c r="D7" s="16" t="inlineStr">
        <is>
          <t>من الدراسة الأصلية (الترخيص البلدي صادر من بلدية شمال الشرقية) — يُستكمل اسم الولاية ورقم الموقع وإحداثياته</t>
        </is>
      </c>
    </row>
    <row r="8">
      <c r="A8" s="43" t="inlineStr">
        <is>
          <t>تاريخ بدء التنفيذ</t>
        </is>
      </c>
      <c r="B8" s="24" t="n">
        <v>46388</v>
      </c>
      <c r="C8" s="7" t="inlineStr">
        <is>
          <t>تاريخ</t>
        </is>
      </c>
      <c r="D8" s="16" t="inlineStr">
        <is>
          <t>افتراض — يُستخدم في الجدول الزمني فقط</t>
        </is>
      </c>
    </row>
    <row r="9">
      <c r="A9" s="43" t="inlineStr">
        <is>
          <t>سعر صرف الدولار الأمريكي</t>
        </is>
      </c>
      <c r="B9" s="25" t="n">
        <v>0.3845</v>
      </c>
      <c r="C9" s="7" t="inlineStr">
        <is>
          <t>ر.ع / دولار</t>
        </is>
      </c>
      <c r="D9" s="16" t="inlineStr">
        <is>
          <t>سعر الربط الرسمي (1 ر.ع = 2.6008 دولار)</t>
        </is>
      </c>
    </row>
    <row r="10">
      <c r="A10" s="43" t="inlineStr">
        <is>
          <t>مدة التشغيل في الدراسة</t>
        </is>
      </c>
      <c r="B10" s="11" t="n">
        <v>5</v>
      </c>
      <c r="C10" s="7" t="inlineStr">
        <is>
          <t>سنة</t>
        </is>
      </c>
      <c r="D10" s="16" t="inlineStr">
        <is>
          <t>ثابتة في بنية النموذج (سنة تأسيس + 5 سنوات تشغيل)</t>
        </is>
      </c>
    </row>
    <row r="11">
      <c r="A11" s="15" t="inlineStr">
        <is>
          <t>ثانياً: الاحتياطي والإنتاج</t>
        </is>
      </c>
      <c r="B11" s="15" t="n"/>
      <c r="C11" s="15" t="n"/>
      <c r="D11" s="15" t="n"/>
    </row>
    <row r="12">
      <c r="A12" s="43" t="inlineStr">
        <is>
          <t>الاحتياطي القابل للتعدين</t>
        </is>
      </c>
      <c r="B12" s="10" t="n">
        <v>400000</v>
      </c>
      <c r="C12" s="7" t="inlineStr">
        <is>
          <t>طن خام</t>
        </is>
      </c>
      <c r="D12" s="16" t="inlineStr">
        <is>
          <t>معطى من المالك (أكتوبر 2026) — يُوثَّق بالتقرير الاستكشافي المعتمد</t>
        </is>
      </c>
    </row>
    <row r="13">
      <c r="A13" s="43" t="inlineStr">
        <is>
          <t>متوسط نسبة أكسيد الكروم في الخام (Cr2O3)</t>
        </is>
      </c>
      <c r="B13" s="26" t="n">
        <v>0.32</v>
      </c>
      <c r="C13" s="7" t="inlineStr">
        <is>
          <t>%</t>
        </is>
      </c>
      <c r="D13" s="16" t="inlineStr">
        <is>
          <t>افتراض يحتاج تأكيداً — يُستبدل بنتائج تحاليل المختبر. الخام العُماني المتداول عالمياً غالباً 30–32%</t>
        </is>
      </c>
    </row>
    <row r="14">
      <c r="A14" s="43" t="inlineStr">
        <is>
          <t>نسبة التعرية (طن صخور عقيمة لكل طن خام)</t>
        </is>
      </c>
      <c r="B14" s="27" t="n">
        <v>4</v>
      </c>
      <c r="C14" s="7" t="inlineStr">
        <is>
          <t>طن / طن</t>
        </is>
      </c>
      <c r="D14" s="16" t="inlineStr">
        <is>
          <t>معطى من المالك (أكتوبر 2026) — يحدد حجم الصخور المطلوب تحريكها وكفاية الحفارات</t>
        </is>
      </c>
    </row>
    <row r="15">
      <c r="A15" s="43" t="inlineStr">
        <is>
          <t>نسبة استرداد الخام بعد الفرز اليدوي</t>
        </is>
      </c>
      <c r="B15" s="26" t="n">
        <v>0.85</v>
      </c>
      <c r="C15" s="7" t="inlineStr">
        <is>
          <t>%</t>
        </is>
      </c>
      <c r="D15" s="16" t="inlineStr">
        <is>
          <t>افتراض (الدراسة الأصلية تتضمن 5 عمال فرز)</t>
        </is>
      </c>
    </row>
    <row r="16">
      <c r="A16" s="43" t="inlineStr">
        <is>
          <t>أيام العمل في السنة</t>
        </is>
      </c>
      <c r="B16" s="10" t="n">
        <v>312</v>
      </c>
      <c r="C16" s="7" t="inlineStr">
        <is>
          <t>يوم</t>
        </is>
      </c>
      <c r="D16" s="16" t="inlineStr">
        <is>
          <t>معطى من المالك: 6 أيام في الأسبوع × 52 أسبوعاً</t>
        </is>
      </c>
    </row>
    <row r="17">
      <c r="A17" s="43" t="inlineStr">
        <is>
          <t>ساعات العمل اليومية</t>
        </is>
      </c>
      <c r="B17" s="10" t="n">
        <v>10</v>
      </c>
      <c r="C17" s="7" t="inlineStr">
        <is>
          <t>ساعة</t>
        </is>
      </c>
      <c r="D17" s="16" t="inlineStr">
        <is>
          <t>معطى من المالك: 10 ساعات يومياً. يتجاوز 9 ساعات للعامل في قانون العمل — يلزم عمل إضافي مدفوع أو نظام ورديتين للعمالة الميدانية</t>
        </is>
      </c>
    </row>
    <row r="18">
      <c r="A18" s="43" t="inlineStr">
        <is>
          <t>معامل جاهزية واستغلال المعدات</t>
        </is>
      </c>
      <c r="B18" s="26" t="n">
        <v>0.75</v>
      </c>
      <c r="C18" s="7" t="inlineStr">
        <is>
          <t>%</t>
        </is>
      </c>
      <c r="D18" s="16" t="inlineStr">
        <is>
          <t>افتراض: يشمل الأعطال والصيانة وتوقفات الطقس والتنقل</t>
        </is>
      </c>
    </row>
    <row r="19">
      <c r="A19" s="43" t="inlineStr">
        <is>
          <t>إنتاجية الحفار في التكسير والتحميل (للتحقق من الطاقة)</t>
        </is>
      </c>
      <c r="B19" s="27" t="n">
        <v>35</v>
      </c>
      <c r="C19" s="7" t="inlineStr">
        <is>
          <t>طن صخر / ساعة</t>
        </is>
      </c>
      <c r="D19" s="16" t="inlineStr">
        <is>
          <t>افتراض لصخور البريدوتيت/الدونيت — يُستخدم فقط للتحقق من كفاية الحفارات المستأجرة</t>
        </is>
      </c>
    </row>
    <row r="20">
      <c r="A20" s="15" t="inlineStr">
        <is>
          <t>ثالثاً: السوق والسعر</t>
        </is>
      </c>
      <c r="B20" s="15" t="n"/>
      <c r="C20" s="15" t="n"/>
      <c r="D20" s="15" t="n"/>
    </row>
    <row r="21">
      <c r="A21" s="43" t="inlineStr">
        <is>
          <t>السعر المرجعي CIF الصين — كروم عُماني كتل 30–32%</t>
        </is>
      </c>
      <c r="B21" s="27" t="n">
        <v>200</v>
      </c>
      <c r="C21" s="7" t="inlineStr">
        <is>
          <t>دولار / طن</t>
        </is>
      </c>
      <c r="D21" s="16" t="inlineStr">
        <is>
          <t>مصدر منشور: SMM — 192.5 دولار (17 يونيو 2026) و205 دولار (30 سبتمبر 2026)؛ اعتُمد متوسط مقرَّب</t>
        </is>
      </c>
    </row>
    <row r="22">
      <c r="A22" s="43" t="inlineStr">
        <is>
          <t>درجة الخام المرجعي (منتصف النطاق)</t>
        </is>
      </c>
      <c r="B22" s="26" t="n">
        <v>0.31</v>
      </c>
      <c r="C22" s="7" t="inlineStr">
        <is>
          <t>%</t>
        </is>
      </c>
      <c r="D22" s="16" t="inlineStr">
        <is>
          <t>منتصف نطاق 30–32% — يُستخدم لتحويل السعر إلى سعر وحدة الكروم</t>
        </is>
      </c>
    </row>
    <row r="23">
      <c r="A23" s="43" t="inlineStr">
        <is>
          <t>أجور الشحن البحري عُمان – الصين</t>
        </is>
      </c>
      <c r="B23" s="27" t="n">
        <v>24</v>
      </c>
      <c r="C23" s="7" t="inlineStr">
        <is>
          <t>دولار / طن</t>
        </is>
      </c>
      <c r="D23" s="16" t="inlineStr">
        <is>
          <t>افتراض يحتاج تأكيداً (شحن سائب)</t>
        </is>
      </c>
    </row>
    <row r="24">
      <c r="A24" s="43" t="inlineStr">
        <is>
          <t>مناولة وتخزين وتحميل في الميناء</t>
        </is>
      </c>
      <c r="B24" s="28" t="n">
        <v>2.5</v>
      </c>
      <c r="C24" s="7" t="inlineStr">
        <is>
          <t>ر.ع / طن</t>
        </is>
      </c>
      <c r="D24" s="16" t="inlineStr">
        <is>
          <t>افتراض يحتاج تأكيداً</t>
        </is>
      </c>
    </row>
    <row r="25">
      <c r="A25" s="43" t="inlineStr">
        <is>
          <t>هامش التسويق والفحص والتمويل (المشتري/المصدِّر)</t>
        </is>
      </c>
      <c r="B25" s="26" t="n">
        <v>0.1</v>
      </c>
      <c r="C25" s="7" t="inlineStr">
        <is>
          <t>% من سعر CIF</t>
        </is>
      </c>
      <c r="D25" s="16" t="inlineStr">
        <is>
          <t>افتراض يحتاج تأكيداً — لم تُنشر بعد آلية تسعير شركة متاجرة المعادن للمنتجين</t>
        </is>
      </c>
    </row>
    <row r="26">
      <c r="A26" s="43" t="inlineStr">
        <is>
          <t>مسافة النقل البري من موقع التجميع إلى الميناء</t>
        </is>
      </c>
      <c r="B26" s="10" t="n">
        <v>300</v>
      </c>
      <c r="C26" s="7" t="inlineStr">
        <is>
          <t>كم</t>
        </is>
      </c>
      <c r="D26" s="16" t="inlineStr">
        <is>
          <t>افتراض يحتاج تأكيداً حسب الموقع الفعلي والميناء (صحار / صلالة / الدقم)</t>
        </is>
      </c>
    </row>
    <row r="27">
      <c r="A27" s="43" t="inlineStr">
        <is>
          <t>تعرفة النقل البري</t>
        </is>
      </c>
      <c r="B27" s="25" t="n">
        <v>0.02</v>
      </c>
      <c r="C27" s="7" t="inlineStr">
        <is>
          <t>ر.ع / طن.كم</t>
        </is>
      </c>
      <c r="D27" s="16" t="inlineStr">
        <is>
          <t>افتراض يحتاج تأكيداً بعروض شركات النقل</t>
        </is>
      </c>
    </row>
    <row r="28">
      <c r="A28" s="43" t="inlineStr">
        <is>
          <t>خصم تحوّطي على صافي السعر</t>
        </is>
      </c>
      <c r="B28" s="26" t="n">
        <v>0.12</v>
      </c>
      <c r="C28" s="7" t="inlineStr">
        <is>
          <t>%</t>
        </is>
      </c>
      <c r="D28" s="16" t="inlineStr">
        <is>
          <t>تحوّط لتقلب الأسعار وغرامات الجودة والرطوبة؛ يقرّب السعر من المتوسط الوطني المحقق فعلياً</t>
        </is>
      </c>
    </row>
    <row r="29">
      <c r="A29" s="43" t="inlineStr">
        <is>
          <t>التغير السنوي في سعر البيع</t>
        </is>
      </c>
      <c r="B29" s="26" t="n">
        <v>0</v>
      </c>
      <c r="C29" s="7" t="inlineStr">
        <is>
          <t>% سنوياً</t>
        </is>
      </c>
      <c r="D29" s="16" t="inlineStr">
        <is>
          <t>افتراض متحفظ: ثبات السعر مع تضخم التكاليف</t>
        </is>
      </c>
    </row>
    <row r="30">
      <c r="A30" s="15" t="inlineStr">
        <is>
          <t>رابعاً: الرسوم الحكومية والضرائب</t>
        </is>
      </c>
      <c r="B30" s="15" t="n"/>
      <c r="C30" s="15" t="n"/>
      <c r="D30" s="15" t="n"/>
    </row>
    <row r="31">
      <c r="A31" s="43" t="inlineStr">
        <is>
          <t>الإتاوة الحكومية</t>
        </is>
      </c>
      <c r="B31" s="26" t="n">
        <v>0.05</v>
      </c>
      <c r="C31" s="7" t="inlineStr">
        <is>
          <t>% من قيمة الإنتاج</t>
        </is>
      </c>
      <c r="D31" s="16" t="inlineStr">
        <is>
          <t>قانون الثروة المعدنية (م.س 19/2019): لا تقل عن 5% — تُؤكَّد النسبة المحددة في الترخيص</t>
        </is>
      </c>
    </row>
    <row r="32">
      <c r="A32" s="43" t="inlineStr">
        <is>
          <t>مساهمة تنمية المجتمع المحلي</t>
        </is>
      </c>
      <c r="B32" s="26" t="n">
        <v>0.01</v>
      </c>
      <c r="C32" s="7" t="inlineStr">
        <is>
          <t>% من قيمة الإنتاج</t>
        </is>
      </c>
      <c r="D32" s="16" t="inlineStr">
        <is>
          <t>قانون الثروة المعدنية: لا تقل عن 1%</t>
        </is>
      </c>
    </row>
    <row r="33">
      <c r="A33" s="43" t="inlineStr">
        <is>
          <t>ضريبة الدخل</t>
        </is>
      </c>
      <c r="B33" s="26" t="n">
        <v>0.15</v>
      </c>
      <c r="C33" s="7" t="inlineStr">
        <is>
          <t>% من الربح</t>
        </is>
      </c>
      <c r="D33" s="16" t="inlineStr">
        <is>
          <t>قانون ضريبة الدخل: 15% (نسبة 3% للمؤسسات الصغيرة لا تنطبق على استخراج الثروات الطبيعية)</t>
        </is>
      </c>
    </row>
    <row r="34">
      <c r="A34" s="43" t="inlineStr">
        <is>
          <t>الضمانات البنكية (وزارة الطاقة والمعادن / هيئة البيئة)</t>
        </is>
      </c>
      <c r="B34" s="10" t="n">
        <v>55000</v>
      </c>
      <c r="C34" s="7" t="inlineStr">
        <is>
          <t>ر.ع</t>
        </is>
      </c>
      <c r="D34" s="16" t="inlineStr">
        <is>
          <t>من الدراسة الأصلية — عولجت كوديعة مستردة في نهاية المشروع لا كمصروف</t>
        </is>
      </c>
    </row>
    <row r="35">
      <c r="A35" s="43" t="inlineStr">
        <is>
          <t>عمولة الضمان البنكي السنوية</t>
        </is>
      </c>
      <c r="B35" s="26" t="n">
        <v>0.015</v>
      </c>
      <c r="C35" s="7" t="inlineStr">
        <is>
          <t>% سنوياً</t>
        </is>
      </c>
      <c r="D35" s="16" t="inlineStr">
        <is>
          <t>افتراض يحتاج تأكيداً من البنك</t>
        </is>
      </c>
    </row>
    <row r="36">
      <c r="A36" s="15" t="inlineStr">
        <is>
          <t>خامساً: العمالة</t>
        </is>
      </c>
      <c r="B36" s="15" t="n"/>
      <c r="C36" s="15" t="n"/>
      <c r="D36" s="15" t="n"/>
    </row>
    <row r="37">
      <c r="A37" s="43" t="inlineStr">
        <is>
          <t>اشتراك صاحب العمل في صندوق الحماية الاجتماعية — العمانيون</t>
        </is>
      </c>
      <c r="B37" s="26" t="n">
        <v>0.145</v>
      </c>
      <c r="C37" s="7" t="inlineStr">
        <is>
          <t>% من الأجر</t>
        </is>
      </c>
      <c r="D37" s="16" t="inlineStr">
        <is>
          <t>مصدر منشور: شيخوخة وعجز ووفاة 11% + إصابات عمل 1% + أمان وظيفي 0.5% + أمومة 1% + إجازات مرضية 1% (من يوليو 2026)</t>
        </is>
      </c>
    </row>
    <row r="38">
      <c r="A38" s="43" t="inlineStr">
        <is>
          <t>اشتراكات صاحب العمل — الوافدون</t>
        </is>
      </c>
      <c r="B38" s="26" t="n">
        <v>0.03</v>
      </c>
      <c r="C38" s="7" t="inlineStr">
        <is>
          <t>% من الأجر</t>
        </is>
      </c>
      <c r="D38" s="16" t="inlineStr">
        <is>
          <t>أمومة 1% + إصابات عمل 1% + إجازات مرضية 1% — يُتحقق من الصندوق</t>
        </is>
      </c>
    </row>
    <row r="39">
      <c r="A39" s="43" t="inlineStr">
        <is>
          <t>مخصص نهاية الخدمة / نظام الادخار للوافدين</t>
        </is>
      </c>
      <c r="B39" s="26" t="n">
        <v>0.09</v>
      </c>
      <c r="C39" s="7" t="inlineStr">
        <is>
          <t>% من الأجر</t>
        </is>
      </c>
      <c r="D39" s="16" t="inlineStr">
        <is>
          <t>نظام الادخار 9% اعتباراً من يوليو 2027 (وقبله مكافأة نهاية الخدمة: راتب شهر عن كل سنة)</t>
        </is>
      </c>
    </row>
    <row r="40">
      <c r="A40" s="43" t="inlineStr">
        <is>
          <t>التأمين الصحي وتأمين العمال للوافد</t>
        </is>
      </c>
      <c r="B40" s="10" t="n">
        <v>400</v>
      </c>
      <c r="C40" s="7" t="inlineStr">
        <is>
          <t>ر.ع / عامل / سنة</t>
        </is>
      </c>
      <c r="D40" s="16" t="inlineStr">
        <is>
          <t>من الدراسة الأصلية (4,800 ÷ 12 عاملاً)</t>
        </is>
      </c>
    </row>
    <row r="41">
      <c r="A41" s="43" t="inlineStr">
        <is>
          <t>رسوم مأذونية العمل — مهن الفئة الثانية</t>
        </is>
      </c>
      <c r="B41" s="10" t="n">
        <v>251</v>
      </c>
      <c r="C41" s="7" t="inlineStr">
        <is>
          <t>ر.ع / سنتين</t>
        </is>
      </c>
      <c r="D41" s="16" t="inlineStr">
        <is>
          <t>مصدر منشور: قرار وزارة العمل 602/2025 (صلاحية 24 شهراً)</t>
        </is>
      </c>
    </row>
    <row r="42">
      <c r="A42" s="43" t="inlineStr">
        <is>
          <t>رسوم مأذونية العمل — مهن الفئة الثالثة</t>
        </is>
      </c>
      <c r="B42" s="10" t="n">
        <v>201</v>
      </c>
      <c r="C42" s="7" t="inlineStr">
        <is>
          <t>ر.ع / سنتين</t>
        </is>
      </c>
      <c r="D42" s="16" t="inlineStr">
        <is>
          <t>مصدر منشور: قرار وزارة العمل 602/2025</t>
        </is>
      </c>
    </row>
    <row r="43">
      <c r="A43" s="43" t="inlineStr">
        <is>
          <t>مصاريف استقدام أخرى للوافد (فحص طبي، بطاقة مقيم، تأشيرة)</t>
        </is>
      </c>
      <c r="B43" s="10" t="n">
        <v>40</v>
      </c>
      <c r="C43" s="7" t="inlineStr">
        <is>
          <t>ر.ع / عامل</t>
        </is>
      </c>
      <c r="D43" s="16" t="inlineStr">
        <is>
          <t>افتراض</t>
        </is>
      </c>
    </row>
    <row r="44">
      <c r="A44" s="43" t="inlineStr">
        <is>
          <t>الحد الأدنى لأجر العامل العُماني</t>
        </is>
      </c>
      <c r="B44" s="10" t="n">
        <v>325</v>
      </c>
      <c r="C44" s="7" t="inlineStr">
        <is>
          <t>ر.ع / شهر</t>
        </is>
      </c>
      <c r="D44" s="16" t="inlineStr">
        <is>
          <t>يُستخدم للتحقق من الرواتب في ورقة «الموارد البشرية»</t>
        </is>
      </c>
    </row>
    <row r="45">
      <c r="A45" s="15" t="inlineStr">
        <is>
          <t>سادساً: التشغيل</t>
        </is>
      </c>
      <c r="B45" s="15" t="n"/>
      <c r="C45" s="15" t="n"/>
      <c r="D45" s="15" t="n"/>
    </row>
    <row r="46">
      <c r="A46" s="43" t="inlineStr">
        <is>
          <t>سعر الديزل</t>
        </is>
      </c>
      <c r="B46" s="25" t="n">
        <v>0.258</v>
      </c>
      <c r="C46" s="7" t="inlineStr">
        <is>
          <t>ر.ع / لتر</t>
        </is>
      </c>
      <c r="D46" s="16" t="inlineStr">
        <is>
          <t>مصدر منشور: سعر السوق المحلي، أكتوبر 2026</t>
        </is>
      </c>
    </row>
    <row r="47">
      <c r="A47" s="43" t="inlineStr">
        <is>
          <t>التضخم السنوي للتكاليف</t>
        </is>
      </c>
      <c r="B47" s="26" t="n">
        <v>0.015</v>
      </c>
      <c r="C47" s="7" t="inlineStr">
        <is>
          <t>% سنوياً</t>
        </is>
      </c>
      <c r="D47" s="16" t="inlineStr">
        <is>
          <t>افتراض</t>
        </is>
      </c>
    </row>
    <row r="48">
      <c r="A48" s="43" t="inlineStr">
        <is>
          <t>تأمين المعدات المملوكة</t>
        </is>
      </c>
      <c r="B48" s="26" t="n">
        <v>0.015</v>
      </c>
      <c r="C48" s="7" t="inlineStr">
        <is>
          <t>% من التكلفة سنوياً</t>
        </is>
      </c>
      <c r="D48" s="16" t="inlineStr">
        <is>
          <t>افتراض يحتاج تأكيداً بعرض شركة التأمين</t>
        </is>
      </c>
    </row>
    <row r="49">
      <c r="A49" s="43" t="inlineStr">
        <is>
          <t>مصاريف إدارية وعمومية (تدقيق، قرطاسية، رسوم، بنوك)</t>
        </is>
      </c>
      <c r="B49" s="10" t="n">
        <v>4800</v>
      </c>
      <c r="C49" s="7" t="inlineStr">
        <is>
          <t>ر.ع / سنة</t>
        </is>
      </c>
      <c r="D49" s="16" t="inlineStr">
        <is>
          <t>افتراض (الدراسة الأصلية: صفر)</t>
        </is>
      </c>
    </row>
    <row r="50">
      <c r="A50" s="43" t="inlineStr">
        <is>
          <t>المنافع العامة (كهرباء، ماء، اتصالات)</t>
        </is>
      </c>
      <c r="B50" s="10" t="n">
        <v>1800</v>
      </c>
      <c r="C50" s="7" t="inlineStr">
        <is>
          <t>ر.ع / سنة</t>
        </is>
      </c>
      <c r="D50" s="16" t="inlineStr">
        <is>
          <t>افتراض (الدراسة الأصلية: صفر)</t>
        </is>
      </c>
    </row>
    <row r="51">
      <c r="A51" s="43" t="inlineStr">
        <is>
          <t>الفحص المخبري وأخذ العينات والتسويق</t>
        </is>
      </c>
      <c r="B51" s="10" t="n">
        <v>2400</v>
      </c>
      <c r="C51" s="7" t="inlineStr">
        <is>
          <t>ر.ع / سنة</t>
        </is>
      </c>
      <c r="D51" s="16" t="inlineStr">
        <is>
          <t>افتراض (الدراسة الأصلية: صفر)</t>
        </is>
      </c>
    </row>
    <row r="52">
      <c r="A52" s="43" t="inlineStr">
        <is>
          <t>إعادة تأهيل الموقع (تدريجي)</t>
        </is>
      </c>
      <c r="B52" s="10" t="n">
        <v>2500</v>
      </c>
      <c r="C52" s="7" t="inlineStr">
        <is>
          <t>ر.ع / سنة</t>
        </is>
      </c>
      <c r="D52" s="16" t="inlineStr">
        <is>
          <t>افتراض — التزام قانوني بموجب قانون الثروة المعدنية والتصريح البيئي</t>
        </is>
      </c>
    </row>
    <row r="53">
      <c r="A53" s="43" t="inlineStr">
        <is>
          <t>تجديد التراخيص والرسوم الحكومية</t>
        </is>
      </c>
      <c r="B53" s="10" t="n">
        <v>1600</v>
      </c>
      <c r="C53" s="7" t="inlineStr">
        <is>
          <t>ر.ع / سنة</t>
        </is>
      </c>
      <c r="D53" s="16" t="inlineStr">
        <is>
          <t>افتراض: تصريح بيئي 400 + ترخيص بلدي 100 + ما يعادل تجديد ترخيص التعدين (5,500 ÷ 5 سنوات)</t>
        </is>
      </c>
    </row>
    <row r="54">
      <c r="A54" s="15" t="inlineStr">
        <is>
          <t>سابعاً: التمويل والتقييم</t>
        </is>
      </c>
      <c r="B54" s="15" t="n"/>
      <c r="C54" s="15" t="n"/>
      <c r="D54" s="15" t="n"/>
    </row>
    <row r="55">
      <c r="A55" s="43" t="inlineStr">
        <is>
          <t>مبلغ القرض البنكي</t>
        </is>
      </c>
      <c r="B55" s="10" t="n">
        <v>150000</v>
      </c>
      <c r="C55" s="7" t="inlineStr">
        <is>
          <t>ر.ع</t>
        </is>
      </c>
      <c r="D55" s="16" t="inlineStr">
        <is>
          <t>افتراض يحتاج تأكيداً — ضع صفراً إذا كان التمويل ذاتياً بالكامل</t>
        </is>
      </c>
    </row>
    <row r="56">
      <c r="A56" s="43" t="inlineStr">
        <is>
          <t>معدل الفائدة السنوي</t>
        </is>
      </c>
      <c r="B56" s="26" t="n">
        <v>0.06</v>
      </c>
      <c r="C56" s="7" t="inlineStr">
        <is>
          <t>% سنوياً</t>
        </is>
      </c>
      <c r="D56" s="16" t="inlineStr">
        <is>
          <t>افتراض يحتاج تأكيداً من الجهة الممولة</t>
        </is>
      </c>
    </row>
    <row r="57">
      <c r="A57" s="43" t="inlineStr">
        <is>
          <t>مدة سداد القرض (أقساط سنوية متساوية)</t>
        </is>
      </c>
      <c r="B57" s="10" t="n">
        <v>5</v>
      </c>
      <c r="C57" s="7" t="inlineStr">
        <is>
          <t>سنة</t>
        </is>
      </c>
      <c r="D57" s="16" t="inlineStr">
        <is>
          <t>افتراض (من 1 إلى 5 سنوات ضمن مدة الدراسة)</t>
        </is>
      </c>
    </row>
    <row r="58">
      <c r="A58" s="43" t="inlineStr">
        <is>
          <t>رأس المال العامل — عدد أشهر التغطية</t>
        </is>
      </c>
      <c r="B58" s="10" t="n">
        <v>3</v>
      </c>
      <c r="C58" s="7" t="inlineStr">
        <is>
          <t>شهر</t>
        </is>
      </c>
      <c r="D58" s="16" t="inlineStr">
        <is>
          <t>افتراض: تغطية التكاليف النقدية حتى تحصيل قيمة أولى الشحنات</t>
        </is>
      </c>
    </row>
    <row r="59">
      <c r="A59" s="43" t="inlineStr">
        <is>
          <t>معدل الخصم</t>
        </is>
      </c>
      <c r="B59" s="26" t="n">
        <v>0.12</v>
      </c>
      <c r="C59" s="7" t="inlineStr">
        <is>
          <t>% سنوياً</t>
        </is>
      </c>
      <c r="D59" s="16" t="inlineStr">
        <is>
          <t>افتراض: يعكس مخاطر التعدين الصغير وتقلب أسعار الكروم</t>
        </is>
      </c>
    </row>
    <row r="61">
      <c r="A61" s="15" t="inlineStr">
        <is>
          <t>ثامناً: معطيات التشغيل الفعلية (من المالك — أكتوبر 2026)</t>
        </is>
      </c>
      <c r="B61" s="15" t="n"/>
      <c r="C61" s="15" t="n"/>
      <c r="D61" s="15" t="n"/>
    </row>
    <row r="62">
      <c r="A62" s="43" t="inlineStr">
        <is>
          <t>الإنتاج الصافي المستهدف (خام قابل للبيع)</t>
        </is>
      </c>
      <c r="B62" s="10" t="n">
        <v>60000</v>
      </c>
      <c r="C62" s="7" t="inlineStr">
        <is>
          <t>طن / سنة</t>
        </is>
      </c>
      <c r="D62" s="16" t="inlineStr">
        <is>
          <t>معطى من المالك — محجر كروم جبلي مع تتبع العروق بالحفر والقطع إلى باطن الأرض</t>
        </is>
      </c>
    </row>
    <row r="63">
      <c r="A63" s="43" t="inlineStr">
        <is>
          <t>عدد الحفارات المستأجرة</t>
        </is>
      </c>
      <c r="B63" s="10" t="n">
        <v>5</v>
      </c>
      <c r="C63" s="7" t="inlineStr">
        <is>
          <t>حفار</t>
        </is>
      </c>
      <c r="D63" s="16" t="inlineStr">
        <is>
          <t>معطى من المالك</t>
        </is>
      </c>
    </row>
    <row r="64">
      <c r="A64" s="43" t="inlineStr">
        <is>
          <t>أجرة الحفار بالساعة (شاملة المعدة والمشغل والديزل)</t>
        </is>
      </c>
      <c r="B64" s="10" t="n">
        <v>12</v>
      </c>
      <c r="C64" s="7" t="inlineStr">
        <is>
          <t>ر.ع / ساعة</t>
        </is>
      </c>
      <c r="D64" s="16" t="inlineStr">
        <is>
          <t>معطى من المالك</t>
        </is>
      </c>
    </row>
  </sheetData>
  <pageMargins left="0.3888888888888889" right="0.3888888888888889" top="0.5" bottom="0.5" header="0.3" footer="0.3"/>
  <pageSetup orientation="landscape" paperSize="9" scale="81" fitToHeight="0" verticalDpi="0"/>
  <headerFooter>
    <oddHeader/>
    <oddFooter>&amp;C&amp;P / &amp;N</oddFooter>
    <evenHeader/>
    <evenFooter/>
    <firstHeader/>
    <firstFooter/>
  </headerFooter>
</worksheet>
</file>

<file path=xl/worksheets/sheet4.xml><?xml version="1.0" encoding="utf-8"?>
<worksheet xmlns="http://schemas.openxmlformats.org/spreadsheetml/2006/main">
  <sheetPr>
    <tabColor rgb="FF7030A0"/>
    <outlinePr summaryBelow="1" summaryRight="1"/>
    <pageSetUpPr fitToPage="1"/>
  </sheetPr>
  <dimension ref="A1:F21"/>
  <sheetViews>
    <sheetView showGridLines="0" rightToLeft="1" zoomScale="90" zoomScaleNormal="90" workbookViewId="0">
      <selection activeCell="A1" sqref="A1"/>
    </sheetView>
  </sheetViews>
  <sheetFormatPr baseColWidth="8" defaultRowHeight="12.75"/>
  <cols>
    <col width="6.7109375" customWidth="1" style="1" min="1" max="1"/>
    <col width="30.7109375" customWidth="1" style="1" min="2" max="2"/>
    <col width="26.7109375" customWidth="1" style="1" min="3" max="3"/>
    <col width="14.7109375" customWidth="1" style="1" min="4" max="4"/>
    <col width="22.7109375" customWidth="1" style="1" min="5" max="5"/>
    <col width="80.7109375" customWidth="1" style="1" min="6" max="6"/>
    <col width="9.140625" customWidth="1" style="1" min="7" max="16384"/>
  </cols>
  <sheetData>
    <row r="1" ht="20.25" customHeight="1">
      <c r="A1" s="3" t="inlineStr">
        <is>
          <t>التراخيص اللازمة لمزاولة النشاط والإطار التنظيمي</t>
        </is>
      </c>
    </row>
    <row r="2">
      <c r="A2" s="5" t="inlineStr">
        <is>
          <t>الرسوم من الدراسة الأصلية — تُراجع مع جدول الرسوم الساري لدى وزارة الطاقة والمعادن وهيئة البيئة قبل التقديم</t>
        </is>
      </c>
    </row>
    <row r="4">
      <c r="A4" s="6" t="inlineStr">
        <is>
          <t>م</t>
        </is>
      </c>
      <c r="B4" s="6" t="inlineStr">
        <is>
          <t>الترخيص</t>
        </is>
      </c>
      <c r="C4" s="6" t="inlineStr">
        <is>
          <t>الجهة المانحة</t>
        </is>
      </c>
      <c r="D4" s="6" t="inlineStr">
        <is>
          <t>الرسوم (ر.ع)</t>
        </is>
      </c>
      <c r="E4" s="6" t="inlineStr">
        <is>
          <t>المرحلة</t>
        </is>
      </c>
      <c r="F4" s="6" t="inlineStr">
        <is>
          <t>متطلبات الحصول على الترخيص</t>
        </is>
      </c>
    </row>
    <row r="5" ht="25.5" customHeight="1">
      <c r="A5" s="7" t="n">
        <v>1</v>
      </c>
      <c r="B5" s="43" t="inlineStr">
        <is>
          <t>ترخيص التنقيب</t>
        </is>
      </c>
      <c r="C5" s="43" t="inlineStr">
        <is>
          <t>وزارة الطاقة والمعادن</t>
        </is>
      </c>
      <c r="D5" s="10" t="n">
        <v>2000</v>
      </c>
      <c r="E5" s="43" t="inlineStr">
        <is>
          <t>الاستكشاف (منجز)</t>
        </is>
      </c>
      <c r="F5" s="43" t="inlineStr">
        <is>
          <t>موافقة الجهات المختصة على الموقع المحدد: هيئة البيئة، وزارة الإسكان والتخطيط العمراني، وزارة التراث والسياحة، شرطة عُمان السلطانية، وزارة الدفاع، وزارة الثروة الزراعية والسمكية وموارد المياه، وزارة الداخلية</t>
        </is>
      </c>
    </row>
    <row r="6">
      <c r="A6" s="7" t="n">
        <v>2</v>
      </c>
      <c r="B6" s="43" t="inlineStr">
        <is>
          <t>التصريح البيئي للتنقيب</t>
        </is>
      </c>
      <c r="C6" s="43" t="inlineStr">
        <is>
          <t>هيئة البيئة</t>
        </is>
      </c>
      <c r="D6" s="10" t="n">
        <v>400</v>
      </c>
      <c r="E6" s="43" t="inlineStr">
        <is>
          <t>الاستكشاف (منجز)</t>
        </is>
      </c>
      <c r="F6" s="43" t="inlineStr">
        <is>
          <t>موافقة وزارة الطاقة والمعادن، ودراسة بيئية تثبت عدم وجود تأثيرات بيئية في الموقع</t>
        </is>
      </c>
    </row>
    <row r="7">
      <c r="A7" s="7" t="n">
        <v>3</v>
      </c>
      <c r="B7" s="43" t="inlineStr">
        <is>
          <t>ترخيص التعدين</t>
        </is>
      </c>
      <c r="C7" s="43" t="inlineStr">
        <is>
          <t>وزارة الطاقة والمعادن</t>
        </is>
      </c>
      <c r="D7" s="10" t="n">
        <v>5500</v>
      </c>
      <c r="E7" s="43" t="inlineStr">
        <is>
          <t>قبل الإنتاج</t>
        </is>
      </c>
      <c r="F7" s="43" t="inlineStr">
        <is>
          <t>تقرير تنقيبي شامل (الحفر والعينات)، تقدير الاحتياطي، دراسة الجدوى وخطة التعدين، الضمان المالي</t>
        </is>
      </c>
    </row>
    <row r="8">
      <c r="A8" s="7" t="n">
        <v>4</v>
      </c>
      <c r="B8" s="43" t="inlineStr">
        <is>
          <t>التصريح البيئي للتعدين</t>
        </is>
      </c>
      <c r="C8" s="43" t="inlineStr">
        <is>
          <t>هيئة البيئة</t>
        </is>
      </c>
      <c r="D8" s="10" t="n">
        <v>400</v>
      </c>
      <c r="E8" s="43" t="inlineStr">
        <is>
          <t>قبل الإنتاج</t>
        </is>
      </c>
      <c r="F8" s="43" t="inlineStr">
        <is>
          <t>صدور الموافقة على ترخيص التعدين، ودراسة الأثر البيئي وخطة إعادة التأهيل</t>
        </is>
      </c>
    </row>
    <row r="9">
      <c r="A9" s="7" t="n">
        <v>5</v>
      </c>
      <c r="B9" s="43" t="inlineStr">
        <is>
          <t>الترخيص البلدي</t>
        </is>
      </c>
      <c r="C9" s="43" t="inlineStr">
        <is>
          <t>بلدية شمال الشرقية</t>
        </is>
      </c>
      <c r="D9" s="10" t="n">
        <v>100</v>
      </c>
      <c r="E9" s="43" t="inlineStr">
        <is>
          <t>قبل الإنتاج</t>
        </is>
      </c>
      <c r="F9" s="43" t="inlineStr">
        <is>
          <t>السجل التجاري وعقود إيجار المواقع</t>
        </is>
      </c>
    </row>
    <row r="10">
      <c r="A10" s="29" t="inlineStr">
        <is>
          <t>إجمالي تكلفة إصدار التراخيص</t>
        </is>
      </c>
      <c r="B10" s="29" t="n"/>
      <c r="C10" s="29" t="n"/>
      <c r="D10" s="12">
        <f>SUM(D5:D9)</f>
        <v>8400</v>
      </c>
    </row>
    <row r="12">
      <c r="A12" s="15" t="inlineStr">
        <is>
          <t>الإطار التنظيمي الذي بُنيت عليه الدراسة</t>
        </is>
      </c>
      <c r="B12" s="15" t="n"/>
      <c r="C12" s="15" t="n"/>
      <c r="D12" s="15" t="n"/>
      <c r="E12" s="15" t="n"/>
      <c r="F12" s="15" t="n"/>
    </row>
    <row r="13" ht="25.5" customHeight="1">
      <c r="A13" s="6" t="inlineStr">
        <is>
          <t>م</t>
        </is>
      </c>
      <c r="B13" s="6" t="inlineStr">
        <is>
          <t>الموضوع</t>
        </is>
      </c>
      <c r="C13" s="6" t="inlineStr">
        <is>
          <t>المرجع</t>
        </is>
      </c>
      <c r="D13" s="6" t="inlineStr">
        <is>
          <t>الحكم وأثره في الدراسة</t>
        </is>
      </c>
      <c r="E13" s="6" t="n"/>
      <c r="F13" s="6" t="n"/>
    </row>
    <row r="14" ht="25.5" customHeight="1">
      <c r="A14" s="7" t="n">
        <v>1</v>
      </c>
      <c r="B14" s="43" t="inlineStr">
        <is>
          <t>الإتاوة</t>
        </is>
      </c>
      <c r="C14" s="43" t="inlineStr">
        <is>
          <t>قانون الثروة المعدنية (م.س 19/2019)</t>
        </is>
      </c>
      <c r="D14" s="43" t="n"/>
      <c r="E14" s="43" t="n"/>
      <c r="F14" s="43" t="inlineStr">
        <is>
          <t>لا تقل عن 5% من إجمالي الإنتاج السنوي للخام المستغل. اعتُمدت 5% في الدراسة، وتُؤكَّد النسبة المحددة في ترخيص المشروع.</t>
        </is>
      </c>
    </row>
    <row r="15">
      <c r="A15" s="7" t="n">
        <v>2</v>
      </c>
      <c r="B15" s="43" t="inlineStr">
        <is>
          <t>مساهمة تنمية المجتمع المحلي</t>
        </is>
      </c>
      <c r="C15" s="43" t="inlineStr">
        <is>
          <t>قانون الثروة المعدنية</t>
        </is>
      </c>
      <c r="D15" s="43" t="n"/>
      <c r="E15" s="43" t="n"/>
      <c r="F15" s="43" t="inlineStr">
        <is>
          <t>لا تقل عن 1% من الإنتاج السنوي تُدفع للجهة التي يحددها مجلس الوزراء. اعتُمدت 1%.</t>
        </is>
      </c>
    </row>
    <row r="16" ht="25.5" customHeight="1">
      <c r="A16" s="7" t="n">
        <v>3</v>
      </c>
      <c r="B16" s="43" t="inlineStr">
        <is>
          <t>الضمان المالي والإيجار السنوي</t>
        </is>
      </c>
      <c r="C16" s="43" t="inlineStr">
        <is>
          <t>قانون الثروة المعدنية</t>
        </is>
      </c>
      <c r="D16" s="43" t="n"/>
      <c r="E16" s="43" t="n"/>
      <c r="F16" s="43" t="inlineStr">
        <is>
          <t>ضمان مالي لا يقل عن 1% من تكلفة المشروع قبل إصدار الترخيص، وإيجار سنوي للمساحة المرخصة. الدراسة تعتمد ضمانات بقيمة 55,000 ر.ع كما في الملف الأصلي.</t>
        </is>
      </c>
    </row>
    <row r="17" ht="25.5" customHeight="1">
      <c r="A17" s="7" t="n">
        <v>4</v>
      </c>
      <c r="B17" s="43" t="inlineStr">
        <is>
          <t>تصدير خام الكروم</t>
        </is>
      </c>
      <c r="C17" s="43" t="inlineStr">
        <is>
          <t>قرار وزارة الطاقة والمعادن 18/2025</t>
        </is>
      </c>
      <c r="D17" s="43" t="n"/>
      <c r="E17" s="43" t="n"/>
      <c r="F17" s="43" t="inlineStr">
        <is>
          <t>الحق الحصري في التصدير لشركة متاجرة المعادن (تابعة لشركة تنمية معادن عُمان)؛ لا يُصدَّر الخام بتركيز أقل من 36% ما لم يكن معالجاً وبموافقة كتابية من الوزارة؛ وللسوق المحلي حق الأولوية في الشراء. نافذ منذ منتصف 2026.</t>
        </is>
      </c>
    </row>
    <row r="18">
      <c r="A18" s="7" t="n">
        <v>5</v>
      </c>
      <c r="B18" s="43" t="inlineStr">
        <is>
          <t>ضريبة الدخل</t>
        </is>
      </c>
      <c r="C18" s="43" t="inlineStr">
        <is>
          <t>قانون ضريبة الدخل</t>
        </is>
      </c>
      <c r="D18" s="43" t="n"/>
      <c r="E18" s="43" t="n"/>
      <c r="F18" s="43" t="inlineStr">
        <is>
          <t>15% على الربح الخاضع للضريبة. النسبة المخفضة 3% للمؤسسات الصغيرة لا تشمل أنشطة استخراج الثروات الطبيعية.</t>
        </is>
      </c>
    </row>
    <row r="19">
      <c r="A19" s="7" t="n">
        <v>6</v>
      </c>
      <c r="B19" s="43" t="inlineStr">
        <is>
          <t>ضريبة القيمة المضافة</t>
        </is>
      </c>
      <c r="C19" s="43" t="inlineStr">
        <is>
          <t>قانون ضريبة القيمة المضافة</t>
        </is>
      </c>
      <c r="D19" s="43" t="n"/>
      <c r="E19" s="43" t="n"/>
      <c r="F19" s="43" t="inlineStr">
        <is>
          <t>5% على المبيعات المحلية والصادرات بنسبة صفر. تُحصَّل من المشتري وتُسترد على المشتريات، لذلك لم تُدرج ضمن التكاليف.</t>
        </is>
      </c>
    </row>
    <row r="20" ht="25.5" customHeight="1">
      <c r="A20" s="7" t="n">
        <v>7</v>
      </c>
      <c r="B20" s="43" t="inlineStr">
        <is>
          <t>مأذونيات العمل</t>
        </is>
      </c>
      <c r="C20" s="43" t="inlineStr">
        <is>
          <t>قرار وزارة العمل 602/2025</t>
        </is>
      </c>
      <c r="D20" s="43" t="n"/>
      <c r="E20" s="43" t="n"/>
      <c r="F20" s="43" t="inlineStr">
        <is>
          <t>صلاحية 24 شهراً؛ الرسوم 301 / 251 / 201 ر.ع حسب فئة المهنة؛ تخفيض 30% عند الالتزام بنسب التعمين ومضاعفتها عند عدم الالتزام.</t>
        </is>
      </c>
    </row>
    <row r="21" ht="25.5" customHeight="1">
      <c r="A21" s="7" t="n">
        <v>8</v>
      </c>
      <c r="B21" s="43" t="inlineStr">
        <is>
          <t>الحماية الاجتماعية</t>
        </is>
      </c>
      <c r="C21" s="43" t="inlineStr">
        <is>
          <t>قانون الحماية الاجتماعية (م.س 52/2023)</t>
        </is>
      </c>
      <c r="D21" s="43" t="n"/>
      <c r="E21" s="43" t="n"/>
      <c r="F21" s="43" t="inlineStr">
        <is>
          <t>اشتراك صاحب العمل عن العُماني 14.5% من الأجر، واشتراكات الأمومة وإصابات العمل والإجازات المرضية عن الوافد، ونظام ادخار للوافدين 9% من يوليو 2027.</t>
        </is>
      </c>
    </row>
  </sheetData>
  <pageMargins left="0.3888888888888889" right="0.3888888888888889" top="0.5" bottom="0.5" header="0.3" footer="0.3"/>
  <pageSetup orientation="landscape" paperSize="9" scale="77" fitToHeight="0" verticalDpi="0"/>
  <headerFooter>
    <oddHeader/>
    <oddFooter>&amp;C&amp;P / &amp;N</oddFooter>
    <evenHeader/>
    <evenFooter/>
    <firstHeader/>
    <firstFooter/>
  </headerFooter>
</worksheet>
</file>

<file path=xl/worksheets/sheet5.xml><?xml version="1.0" encoding="utf-8"?>
<worksheet xmlns="http://schemas.openxmlformats.org/spreadsheetml/2006/main">
  <sheetPr>
    <tabColor rgb="FFC55A11"/>
    <outlinePr summaryBelow="1" summaryRight="1"/>
    <pageSetUpPr fitToPage="1"/>
  </sheetPr>
  <dimension ref="A1:D42"/>
  <sheetViews>
    <sheetView showGridLines="0" rightToLeft="1" zoomScale="90" zoomScaleNormal="90" workbookViewId="0">
      <selection activeCell="A1" sqref="A1"/>
    </sheetView>
  </sheetViews>
  <sheetFormatPr baseColWidth="8" defaultRowHeight="12.75"/>
  <cols>
    <col width="52.7109375" customWidth="1" style="1" min="1" max="1"/>
    <col width="18.7109375" customWidth="1" style="1" min="2" max="3"/>
    <col width="80.7109375" customWidth="1" style="1" min="4" max="4"/>
    <col width="9.140625" customWidth="1" style="1" min="5" max="16384"/>
  </cols>
  <sheetData>
    <row r="1" ht="20.25" customHeight="1">
      <c r="A1" s="3" t="inlineStr">
        <is>
          <t>تحليل السوق وبناء سعر البيع</t>
        </is>
      </c>
    </row>
    <row r="2">
      <c r="A2" s="5" t="inlineStr">
        <is>
          <t>السعر المعتمد يُحتسب بطريقة صافي العائد (Netback) من السعر المرجعي العالمي نزولاً إلى موقع التجميع</t>
        </is>
      </c>
    </row>
    <row r="4">
      <c r="A4" s="6" t="inlineStr">
        <is>
          <t>البند</t>
        </is>
      </c>
      <c r="B4" s="6" t="inlineStr">
        <is>
          <t>القيمة</t>
        </is>
      </c>
      <c r="C4" s="6" t="inlineStr">
        <is>
          <t>الوحدة</t>
        </is>
      </c>
      <c r="D4" s="6" t="inlineStr">
        <is>
          <t>المصدر / ملاحظات</t>
        </is>
      </c>
    </row>
    <row r="5">
      <c r="A5" s="15" t="inlineStr">
        <is>
          <t>أولاً: سوق خام الكروم في سلطنة عُمان</t>
        </is>
      </c>
      <c r="B5" s="15" t="n"/>
      <c r="C5" s="15" t="n"/>
      <c r="D5" s="15" t="n"/>
    </row>
    <row r="6">
      <c r="A6" s="43" t="inlineStr">
        <is>
          <t>إنتاج السلطنة من خام الكروم (2025)</t>
        </is>
      </c>
      <c r="B6" s="11" t="n">
        <v>353538</v>
      </c>
      <c r="C6" s="7" t="inlineStr">
        <is>
          <t>طن</t>
        </is>
      </c>
      <c r="D6" s="16" t="inlineStr">
        <is>
          <t>وزارة الطاقة والمعادن — منشور في Times of Oman</t>
        </is>
      </c>
    </row>
    <row r="7">
      <c r="A7" s="43" t="inlineStr">
        <is>
          <t>مبيعات خام الكروم (2025)</t>
        </is>
      </c>
      <c r="B7" s="11" t="n">
        <v>387995</v>
      </c>
      <c r="C7" s="7" t="inlineStr">
        <is>
          <t>طن</t>
        </is>
      </c>
      <c r="D7" s="16" t="inlineStr">
        <is>
          <t>المصدر نفسه</t>
        </is>
      </c>
    </row>
    <row r="8">
      <c r="A8" s="43" t="inlineStr">
        <is>
          <t>قيمة المبيعات (2025)</t>
        </is>
      </c>
      <c r="B8" s="11" t="n">
        <v>15000000</v>
      </c>
      <c r="C8" s="7" t="inlineStr">
        <is>
          <t>ر.ع</t>
        </is>
      </c>
      <c r="D8" s="16" t="inlineStr">
        <is>
          <t>«تجاوزت 15 مليون ر.ع» — المصدر نفسه</t>
        </is>
      </c>
    </row>
    <row r="9">
      <c r="A9" s="43" t="inlineStr">
        <is>
          <t>متوسط السعر المحقق وطنياً (2025)</t>
        </is>
      </c>
      <c r="B9" s="30">
        <f>B8/B7</f>
        <v>38.6602920140724</v>
      </c>
      <c r="C9" s="7" t="inlineStr">
        <is>
          <t>ر.ع / طن</t>
        </is>
      </c>
      <c r="D9" s="16" t="inlineStr">
        <is>
          <t>محتسب: يشمل جميع الدرجات والمبيعات المحلية والتصدير — رقم مرجعي للتحقق من واقعية سعر الدراسة</t>
        </is>
      </c>
    </row>
    <row r="10">
      <c r="A10" s="43" t="inlineStr">
        <is>
          <t>عدد المحاجر العاملة</t>
        </is>
      </c>
      <c r="B10" s="11" t="n">
        <v>29</v>
      </c>
      <c r="C10" s="7" t="inlineStr">
        <is>
          <t>محجر</t>
        </is>
      </c>
      <c r="D10" s="16" t="inlineStr">
        <is>
          <t>من ولاية شناص إلى ولاية وادي بني خالد</t>
        </is>
      </c>
    </row>
    <row r="11">
      <c r="A11" s="43" t="inlineStr">
        <is>
          <t>متوسط إنتاج المحجر الواحد</t>
        </is>
      </c>
      <c r="B11" s="11">
        <f>B6/B10</f>
        <v>12190.9655172414</v>
      </c>
      <c r="C11" s="7" t="inlineStr">
        <is>
          <t>طن / سنة</t>
        </is>
      </c>
      <c r="D11" s="16" t="inlineStr">
        <is>
          <t>محتسب — يُقارن بالطاقة الإنتاجية للمشروع</t>
        </is>
      </c>
    </row>
    <row r="12">
      <c r="A12" s="43" t="inlineStr">
        <is>
          <t>الإنتاج المستهدف للسلطنة بحلول 2030</t>
        </is>
      </c>
      <c r="B12" s="11" t="n">
        <v>400000</v>
      </c>
      <c r="C12" s="7" t="inlineStr">
        <is>
          <t>طن / سنة</t>
        </is>
      </c>
      <c r="D12" s="16" t="inlineStr">
        <is>
          <t>شركة تنمية معادن عُمان — Oman Observer</t>
        </is>
      </c>
    </row>
    <row r="13">
      <c r="A13" s="43" t="inlineStr">
        <is>
          <t>الحد الأدنى لدرجة تصدير الخام غير المعالج</t>
        </is>
      </c>
      <c r="B13" s="17" t="n">
        <v>0.36</v>
      </c>
      <c r="C13" s="7" t="inlineStr">
        <is>
          <t>Cr2O3</t>
        </is>
      </c>
      <c r="D13" s="16" t="inlineStr">
        <is>
          <t>القرار الوزاري 18/2025 — التصدير حصري عبر شركة متاجرة المعادن، وللسوق المحلي حق الأولوية</t>
        </is>
      </c>
    </row>
    <row r="14">
      <c r="A14" s="15" t="inlineStr">
        <is>
          <t>ثانياً: الأسعار المرجعية العالمية — CIF الصين (SMM، 30 سبتمبر 2026)</t>
        </is>
      </c>
      <c r="B14" s="15" t="n"/>
      <c r="C14" s="15" t="n"/>
      <c r="D14" s="15" t="n"/>
    </row>
    <row r="15">
      <c r="A15" s="43" t="inlineStr">
        <is>
          <t>كروم عُماني كتل 30–32%</t>
        </is>
      </c>
      <c r="B15" s="31" t="n">
        <v>205</v>
      </c>
      <c r="C15" s="7" t="inlineStr">
        <is>
          <t>دولار / طن</t>
        </is>
      </c>
      <c r="D15" s="16" t="inlineStr">
        <is>
          <t>النطاق 200–210 (وكان 192.5 في 17 يونيو 2026)</t>
        </is>
      </c>
    </row>
    <row r="16">
      <c r="A16" s="43" t="inlineStr">
        <is>
          <t>كروم جنوب أفريقيا كتل 38%</t>
        </is>
      </c>
      <c r="B16" s="31" t="n">
        <v>257.5</v>
      </c>
      <c r="C16" s="7" t="inlineStr">
        <is>
          <t>دولار / طن</t>
        </is>
      </c>
      <c r="D16" s="16" t="inlineStr">
        <is>
          <t>النطاق 255–260</t>
        </is>
      </c>
    </row>
    <row r="17">
      <c r="A17" s="43" t="inlineStr">
        <is>
          <t>مركزات جنوب أفريقيا 40–42%</t>
        </is>
      </c>
      <c r="B17" s="31" t="n">
        <v>267.5</v>
      </c>
      <c r="C17" s="7" t="inlineStr">
        <is>
          <t>دولار / طن</t>
        </is>
      </c>
      <c r="D17" s="16" t="inlineStr">
        <is>
          <t>النطاق 265–270</t>
        </is>
      </c>
    </row>
    <row r="18">
      <c r="A18" s="43" t="inlineStr">
        <is>
          <t>كروم تركي كتل 40–42%</t>
        </is>
      </c>
      <c r="B18" s="31" t="n">
        <v>340</v>
      </c>
      <c r="C18" s="7" t="inlineStr">
        <is>
          <t>دولار / طن</t>
        </is>
      </c>
      <c r="D18" s="16" t="inlineStr">
        <is>
          <t>النطاق 335–345 — يوضح علاوة الدرجات العالية والكتل الصلبة</t>
        </is>
      </c>
    </row>
    <row r="19">
      <c r="A19" s="15" t="inlineStr">
        <is>
          <t>ثالثاً: بناء سعر البيع المعتمد (صافي العائد عند موقع التجميع)</t>
        </is>
      </c>
      <c r="B19" s="15" t="n"/>
      <c r="C19" s="15" t="n"/>
      <c r="D19" s="15" t="n"/>
    </row>
    <row r="20">
      <c r="A20" s="43" t="inlineStr">
        <is>
          <t>السعر المرجعي CIF الصين للخام 30–32%</t>
        </is>
      </c>
      <c r="B20" s="18">
        <f>CifBench</f>
        <v>200</v>
      </c>
      <c r="C20" s="7" t="inlineStr">
        <is>
          <t>دولار / طن</t>
        </is>
      </c>
      <c r="D20" s="16" t="inlineStr">
        <is>
          <t>من ورقة الافتراضات</t>
        </is>
      </c>
    </row>
    <row r="21">
      <c r="A21" s="43" t="inlineStr">
        <is>
          <t>سعر وحدة الكروم (لكل 1% Cr2O3)</t>
        </is>
      </c>
      <c r="B21" s="18">
        <f>B20/(BenchGrade*100)</f>
        <v>6.45161290322581</v>
      </c>
      <c r="C21" s="7" t="inlineStr">
        <is>
          <t>دولار / وحدة</t>
        </is>
      </c>
      <c r="D21" s="16" t="inlineStr">
        <is>
          <t>السعر المرجعي ÷ درجة الخام المرجعي</t>
        </is>
      </c>
    </row>
    <row r="22">
      <c r="A22" s="43" t="inlineStr">
        <is>
          <t>درجة خام المشروع</t>
        </is>
      </c>
      <c r="B22" s="17">
        <f>OreGrade</f>
        <v>0.32</v>
      </c>
      <c r="C22" s="7" t="inlineStr">
        <is>
          <t>Cr2O3</t>
        </is>
      </c>
      <c r="D22" s="16" t="inlineStr">
        <is>
          <t>من ورقة الافتراضات</t>
        </is>
      </c>
    </row>
    <row r="23">
      <c r="A23" s="43" t="inlineStr">
        <is>
          <t>السعر المعادل CIF لخام المشروع</t>
        </is>
      </c>
      <c r="B23" s="18">
        <f>B21*B22*100</f>
        <v>206.451612903226</v>
      </c>
      <c r="C23" s="7" t="inlineStr">
        <is>
          <t>دولار / طن</t>
        </is>
      </c>
      <c r="D23" s="16" t="n"/>
    </row>
    <row r="24">
      <c r="A24" s="43" t="inlineStr">
        <is>
          <t>السعر المعادل CIF لخام المشروع</t>
        </is>
      </c>
      <c r="B24" s="18">
        <f>B23*FxRate</f>
        <v>79.3806451612903</v>
      </c>
      <c r="C24" s="7" t="inlineStr">
        <is>
          <t>ر.ع / طن</t>
        </is>
      </c>
      <c r="D24" s="16" t="n"/>
    </row>
    <row r="25">
      <c r="A25" s="43" t="inlineStr">
        <is>
          <t>(-) الشحن البحري</t>
        </is>
      </c>
      <c r="B25" s="18">
        <f>SeaFreight*FxRate</f>
        <v>9.228</v>
      </c>
      <c r="C25" s="7" t="inlineStr">
        <is>
          <t>ر.ع / طن</t>
        </is>
      </c>
      <c r="D25" s="16" t="n"/>
    </row>
    <row r="26">
      <c r="A26" s="43" t="inlineStr">
        <is>
          <t>(-) المناولة والتخزين والتحميل في الميناء</t>
        </is>
      </c>
      <c r="B26" s="18">
        <f>PortCost</f>
        <v>2.5</v>
      </c>
      <c r="C26" s="7" t="inlineStr">
        <is>
          <t>ر.ع / طن</t>
        </is>
      </c>
      <c r="D26" s="16" t="n"/>
    </row>
    <row r="27">
      <c r="A27" s="43" t="inlineStr">
        <is>
          <t>(-) هامش التسويق والفحص والتمويل</t>
        </is>
      </c>
      <c r="B27" s="18">
        <f>B24*TraderM</f>
        <v>7.93806451612903</v>
      </c>
      <c r="C27" s="7" t="inlineStr">
        <is>
          <t>ر.ع / طن</t>
        </is>
      </c>
      <c r="D27" s="16" t="n"/>
    </row>
    <row r="28">
      <c r="A28" s="32" t="inlineStr">
        <is>
          <t>صافي السعر تسليم الميناء</t>
        </is>
      </c>
      <c r="B28" s="33">
        <f>B24-B25-B26-B27</f>
        <v>59.7145806451613</v>
      </c>
      <c r="C28" s="7" t="inlineStr">
        <is>
          <t>ر.ع / طن</t>
        </is>
      </c>
      <c r="D28" s="16" t="n"/>
    </row>
    <row r="29">
      <c r="A29" s="43" t="inlineStr">
        <is>
          <t>(-) النقل البري من موقع التجميع إلى الميناء</t>
        </is>
      </c>
      <c r="B29" s="18">
        <f>HaulDist*TruckRate</f>
        <v>6</v>
      </c>
      <c r="C29" s="7" t="inlineStr">
        <is>
          <t>ر.ع / طن</t>
        </is>
      </c>
      <c r="D29" s="16" t="n"/>
    </row>
    <row r="30">
      <c r="A30" s="32" t="inlineStr">
        <is>
          <t>صافي العائد عند موقع التجميع</t>
        </is>
      </c>
      <c r="B30" s="33">
        <f>B28-B29</f>
        <v>53.7145806451613</v>
      </c>
      <c r="C30" s="7" t="inlineStr">
        <is>
          <t>ر.ع / طن</t>
        </is>
      </c>
      <c r="D30" s="16" t="n"/>
    </row>
    <row r="31">
      <c r="A31" s="43" t="inlineStr">
        <is>
          <t>(-) الخصم التحوّطي</t>
        </is>
      </c>
      <c r="B31" s="18">
        <f>B30*PriceDisc</f>
        <v>6.44574967741936</v>
      </c>
      <c r="C31" s="7" t="inlineStr">
        <is>
          <t>ر.ع / طن</t>
        </is>
      </c>
      <c r="D31" s="16" t="n"/>
    </row>
    <row r="32">
      <c r="A32" s="32" t="inlineStr">
        <is>
          <t>صافي سعر التصدير عند موقع التجميع</t>
        </is>
      </c>
      <c r="B32" s="33">
        <f>B30-B31</f>
        <v>47.2688309677419</v>
      </c>
      <c r="C32" s="7" t="inlineStr">
        <is>
          <t>ر.ع / طن</t>
        </is>
      </c>
      <c r="D32" s="16" t="inlineStr">
        <is>
          <t>يُستخدم لحصة التصدير فقط — انظر «خامساً» أدناه</t>
        </is>
      </c>
    </row>
    <row r="33">
      <c r="A33" s="15" t="inlineStr">
        <is>
          <t>رابعاً: التحقق</t>
        </is>
      </c>
      <c r="B33" s="15" t="n"/>
      <c r="C33" s="15" t="n"/>
      <c r="D33" s="15" t="n"/>
    </row>
    <row r="34" ht="24" customHeight="1">
      <c r="A34" s="43" t="inlineStr">
        <is>
          <t>نسبة سعر الدراسة إلى المتوسط الوطني المحقق 2025</t>
        </is>
      </c>
      <c r="B34" s="34">
        <f>SalePrice/NatAvgPrice</f>
        <v>0.999992446666667</v>
      </c>
      <c r="C34" s="7" t="inlineStr">
        <is>
          <t>مرة</t>
        </is>
      </c>
      <c r="D34" s="16" t="str">
        <f>IF(ABS(B34-1)&lt;0.005,"السعر المعتمد يساوي المتوسط الوطني المحقق 2025.",IF(B34&gt;1,"السعر المعتمد أعلى من المتوسط الوطني المحقق 2025 — يُبرَّر بعقد أو عرض شراء.","السعر المعتمد أقل من المتوسط الوطني المحقق 2025 (تحفّظ)."))</f>
        <v>السعر المعتمد يساوي المتوسط الوطني المحقق 2025.</v>
      </c>
    </row>
    <row r="35" ht="25.5" customHeight="1">
      <c r="A35" s="43" t="inlineStr">
        <is>
          <t>هل تحقق درجة الخام شرط تصدير الخام غير المعالج؟</t>
        </is>
      </c>
      <c r="B35" s="35" t="str">
        <f>IF(OreGrade&gt;=MinExportGrade,"نعم","لا")</f>
        <v>لا</v>
      </c>
      <c r="C35" s="7" t="inlineStr">
        <is>
          <t>—</t>
        </is>
      </c>
      <c r="D35" s="43" t="str">
        <f>IF(OreGrade&gt;=MinExportGrade,"الدرجة مطابقة لشرط التصدير (36% فأكثر).","تنبيه: الدرجة أقل من 36% — لا يُسمح بتصدير الخام غير المعالج. يُباع محلياً (مصانع المعالجة/الفيروكروم) أو يُعالَج ويُصدَّر عبر شركة متاجرة المعادن بموافقة الوزارة، وقد ينخفض السعر المحقق عن المحتسب أعلاه.")</f>
        <v>تنبيه: الدرجة أقل من 36% — لا يُسمح بتصدير الخام غير المعالج. يُباع محلياً (مصانع المعالجة/الفيروكروم) أو يُعالَج ويُصدَّر عبر شركة متاجرة المعادن بموافقة الوزارة، وقد ينخفض السعر المحقق عن المحتسب أعلاه.</v>
      </c>
    </row>
    <row r="37">
      <c r="A37" s="15" t="inlineStr">
        <is>
          <t>خامساً: مسار البيع — بيع محلي و/أو تصدير</t>
        </is>
      </c>
      <c r="B37" s="15" t="n"/>
      <c r="C37" s="15" t="n"/>
      <c r="D37" s="15" t="n"/>
    </row>
    <row r="38" ht="25.5" customHeight="1">
      <c r="A38" s="43" t="inlineStr">
        <is>
          <t>سعر البيع المحلي عند موقع التجميع</t>
        </is>
      </c>
      <c r="B38" s="28" t="n">
        <v>38.66</v>
      </c>
      <c r="C38" s="7" t="inlineStr">
        <is>
          <t>ر.ع / طن</t>
        </is>
      </c>
      <c r="D38" s="16" t="inlineStr">
        <is>
          <t>افتراض يحتاج تأكيداً = متوسط السعر الوطني المحقق 2025 (B9). يُستبدل بعرض مشترٍ محلي (مصانع المعالجة / الفيروكروم) تسليم موقع التجميع</t>
        </is>
      </c>
    </row>
    <row r="39" ht="25.5" customHeight="1">
      <c r="A39" s="43" t="inlineStr">
        <is>
          <t>نسبة المبيعات المحلية من الكمية المباعة</t>
        </is>
      </c>
      <c r="B39" s="26" t="n">
        <v>1</v>
      </c>
      <c r="C39" s="7" t="inlineStr">
        <is>
          <t>%</t>
        </is>
      </c>
      <c r="D39" s="16" t="inlineStr">
        <is>
          <t>100% = بيع محلي بالكامل (الحالة الأساسية لأن درجة الخام أقل من 36%). الباقي يُصدَّر عبر شركة متاجرة المعادن بصافي سعر التصدير</t>
        </is>
      </c>
    </row>
    <row r="40">
      <c r="A40" s="43" t="inlineStr">
        <is>
          <t>صافي سعر التصدير عند موقع التجميع</t>
        </is>
      </c>
      <c r="B40" s="18">
        <f>B32</f>
        <v>47.2688309677419</v>
      </c>
      <c r="C40" s="7" t="inlineStr">
        <is>
          <t>ر.ع / طن</t>
        </is>
      </c>
      <c r="D40" s="16" t="inlineStr">
        <is>
          <t>من «ثالثاً» أعلاه</t>
        </is>
      </c>
    </row>
    <row r="41">
      <c r="A41" s="32" t="inlineStr">
        <is>
          <t>سعر البيع المعتمد في الدراسة (متوسط مرجّح)</t>
        </is>
      </c>
      <c r="B41" s="30">
        <f>B38*B39+B40*(1-B39)</f>
        <v>38.66</v>
      </c>
      <c r="C41" s="7" t="inlineStr">
        <is>
          <t>ر.ع / طن</t>
        </is>
      </c>
      <c r="D41" s="16" t="inlineStr">
        <is>
          <t>يُستخدم في الإيرادات وجميع المؤشرات والحساسية</t>
        </is>
      </c>
    </row>
    <row r="42" ht="25.5" customHeight="1">
      <c r="A42" s="43" t="inlineStr">
        <is>
          <t>التحقق من شرط درجة التصدير</t>
        </is>
      </c>
      <c r="B42" s="35" t="str">
        <f>IF(OR(B39&gt;=1,OreGrade&gt;=MinExportGrade),"مطابق","مخالف")</f>
        <v>مطابق</v>
      </c>
      <c r="C42" s="7" t="inlineStr">
        <is>
          <t>—</t>
        </is>
      </c>
      <c r="D42" s="43" t="str">
        <f>IF(B39&gt;=1,"البيع محلي بالكامل — لا ينطبق شرط درجة التصدير.",IF(OreGrade&gt;=MinExportGrade,"الدرجة تسمح بتصدير الخام غير المعالج عبر شركة متاجرة المعادن.","تنبيه: جزء من المبيعات مفترض للتصدير والدرجة أقل من 36% — يلزم معالجة الخام وموافقة الوزارة، أو رفع نسبة البيع المحلي إلى 100%."))</f>
        <v>البيع محلي بالكامل — لا ينطبق شرط درجة التصدير.</v>
      </c>
    </row>
  </sheetData>
  <dataValidations count="2">
    <dataValidation sqref="B39" showDropDown="0" showInputMessage="0" showErrorMessage="1" allowBlank="1" errorTitle="قيمة غير صحيحة" error="أدخل نسبة بين 0% و100%" type="decimal">
      <formula1>0</formula1>
      <formula2>1</formula2>
    </dataValidation>
    <dataValidation sqref="B38" showDropDown="0" showInputMessage="0" showErrorMessage="1" allowBlank="1" errorTitle="قيمة غير صحيحة" error="السعر يجب أن يكون أكبر من صفر" type="decimal" operator="greaterThan">
      <formula1>0</formula1>
    </dataValidation>
  </dataValidations>
  <pageMargins left="0.3888888888888889" right="0.3888888888888889" top="0.5" bottom="0.5" header="0.3" footer="0.3"/>
  <pageSetup orientation="landscape" paperSize="9" scale="83" fitToHeight="0" verticalDpi="0"/>
  <headerFooter>
    <oddHeader/>
    <oddFooter>&amp;C&amp;P / &amp;N</oddFooter>
    <evenHeader/>
    <evenFooter/>
    <firstHeader/>
    <firstFooter/>
  </headerFooter>
</worksheet>
</file>

<file path=xl/worksheets/sheet6.xml><?xml version="1.0" encoding="utf-8"?>
<worksheet xmlns="http://schemas.openxmlformats.org/spreadsheetml/2006/main">
  <sheetPr>
    <tabColor rgb="FF548235"/>
    <outlinePr summaryBelow="1" summaryRight="1"/>
    <pageSetUpPr fitToPage="1"/>
  </sheetPr>
  <dimension ref="A1:I37"/>
  <sheetViews>
    <sheetView showGridLines="0" rightToLeft="1" zoomScale="90" zoomScaleNormal="90" workbookViewId="0">
      <pane xSplit="2" ySplit="19" topLeftCell="C20" activePane="bottomRight" state="frozen"/>
      <selection pane="topRight"/>
      <selection pane="bottomLeft"/>
      <selection pane="bottomRight" activeCell="C1" sqref="C1"/>
      <selection pane="bottomLeft" activeCell="A15" sqref="A15"/>
      <selection pane="bottomRight" activeCell="A1" sqref="A1"/>
    </sheetView>
  </sheetViews>
  <sheetFormatPr baseColWidth="8" defaultRowHeight="12.75"/>
  <cols>
    <col width="48.7109375" customWidth="1" style="1" min="1" max="1"/>
    <col width="14.7109375" customWidth="1" style="1" min="2" max="2"/>
    <col width="13.7109375" customWidth="1" style="1" min="3" max="14"/>
    <col width="9.140625" customWidth="1" style="1" min="15" max="16384"/>
  </cols>
  <sheetData>
    <row r="1" ht="20.25" customHeight="1">
      <c r="A1" s="3" t="inlineStr">
        <is>
          <t>الخطة الفنية وبرنامج الإنتاج</t>
        </is>
      </c>
    </row>
    <row r="2">
      <c r="A2" s="5" t="inlineStr">
        <is>
          <t>محجر كروم جبلي — تتبع العروق بالحفر والقطع إلى باطن الأرض بحفارات مستأجرة بالساعة — فرز يدوي — بيع من موقع التجميع</t>
        </is>
      </c>
    </row>
    <row r="4">
      <c r="A4" s="6" t="inlineStr">
        <is>
          <t>البند</t>
        </is>
      </c>
      <c r="B4" s="6" t="inlineStr">
        <is>
          <t>الوحدة</t>
        </is>
      </c>
      <c r="C4" s="6" t="inlineStr">
        <is>
          <t>القيمة</t>
        </is>
      </c>
      <c r="D4" s="6" t="inlineStr">
        <is>
          <t>ملاحظات</t>
        </is>
      </c>
    </row>
    <row r="5">
      <c r="A5" s="43" t="inlineStr">
        <is>
          <t>عدد الحفارات المستأجرة (شاملة المشغل والديزل)</t>
        </is>
      </c>
      <c r="B5" s="7" t="inlineStr">
        <is>
          <t>عدد</t>
        </is>
      </c>
      <c r="C5" s="11">
        <f>ExcavNo</f>
        <v>5</v>
      </c>
      <c r="D5" s="5" t="inlineStr">
        <is>
          <t>من «الافتراضات» — معطى من المالك</t>
        </is>
      </c>
    </row>
    <row r="6">
      <c r="A6" s="43" t="inlineStr">
        <is>
          <t>ساعات العمل المجدولة للمعدة في السنة</t>
        </is>
      </c>
      <c r="B6" s="7" t="inlineStr">
        <is>
          <t>ساعة</t>
        </is>
      </c>
      <c r="C6" s="11">
        <f>WorkDays*ShiftHrs</f>
        <v>3120</v>
      </c>
      <c r="D6" s="5" t="inlineStr">
        <is>
          <t>أيام العمل × ساعات العمل اليومية (312 × 10)</t>
        </is>
      </c>
    </row>
    <row r="7">
      <c r="A7" s="43" t="inlineStr">
        <is>
          <t>ساعات التشغيل الفعلية للمعدة</t>
        </is>
      </c>
      <c r="B7" s="7" t="inlineStr">
        <is>
          <t>ساعة</t>
        </is>
      </c>
      <c r="C7" s="11">
        <f>C6*AvailFactor</f>
        <v>2340</v>
      </c>
      <c r="D7" s="5" t="inlineStr">
        <is>
          <t>بعد معامل الجاهزية — تُستخدم لوقود المعدات المملوكة وللتحقق من الطاقة</t>
        </is>
      </c>
    </row>
    <row r="8">
      <c r="A8" s="32" t="inlineStr">
        <is>
          <t>الخام القابل للبيع المستهدف (الطاقة الإنتاجية)</t>
        </is>
      </c>
      <c r="B8" s="7" t="inlineStr">
        <is>
          <t>طن</t>
        </is>
      </c>
      <c r="C8" s="13">
        <f>TargetProd</f>
        <v>60000</v>
      </c>
      <c r="D8" s="5" t="inlineStr">
        <is>
          <t>معطى من المالك: 60,000 طن صافٍ سنوياً</t>
        </is>
      </c>
    </row>
    <row r="9">
      <c r="A9" s="43" t="inlineStr">
        <is>
          <t>الخام الخارج من المحجر المطلوب (ROM)</t>
        </is>
      </c>
      <c r="B9" s="7" t="inlineStr">
        <is>
          <t>طن</t>
        </is>
      </c>
      <c r="C9" s="11">
        <f>SaleCap/SortRecov</f>
        <v>70588.2352941177</v>
      </c>
      <c r="D9" s="5" t="inlineStr">
        <is>
          <t>الصافي ÷ نسبة الاسترداد بعد الفرز</t>
        </is>
      </c>
    </row>
    <row r="10">
      <c r="A10" s="43" t="inlineStr">
        <is>
          <t>إجمالي الصخور المطلوب تحريكها (خام + عقيم)</t>
        </is>
      </c>
      <c r="B10" s="7" t="inlineStr">
        <is>
          <t>طن</t>
        </is>
      </c>
      <c r="C10" s="11">
        <f>ROMCap*(1+StripRatio)</f>
        <v>352941.176470588</v>
      </c>
      <c r="D10" s="5" t="inlineStr">
        <is>
          <t>ROM × (1 + نسبة التعرية)</t>
        </is>
      </c>
    </row>
    <row r="11">
      <c r="A11" s="43" t="inlineStr">
        <is>
          <t>الصخور العقيمة</t>
        </is>
      </c>
      <c r="B11" s="7" t="inlineStr">
        <is>
          <t>طن</t>
        </is>
      </c>
      <c r="C11" s="11">
        <f>RockCap-ROMCap</f>
        <v>282352.941176471</v>
      </c>
    </row>
    <row r="12">
      <c r="A12" s="43" t="inlineStr">
        <is>
          <t>طاقة الحفارات على التكسير والتحميل</t>
        </is>
      </c>
      <c r="B12" s="7" t="inlineStr">
        <is>
          <t>طن</t>
        </is>
      </c>
      <c r="C12" s="11">
        <f>C5*BrkProd*C7</f>
        <v>409500</v>
      </c>
      <c r="D12" s="5" t="inlineStr">
        <is>
          <t>عدد الحفارات × الإنتاجية × ساعات التشغيل الفعلية</t>
        </is>
      </c>
    </row>
    <row r="13">
      <c r="A13" s="43" t="inlineStr">
        <is>
          <t>الصخور المطلوبة إلى طاقة الحفارات</t>
        </is>
      </c>
      <c r="B13" s="7" t="inlineStr">
        <is>
          <t>%</t>
        </is>
      </c>
      <c r="C13" s="17">
        <f>IF(C12&gt;0,C10/C12,0)</f>
        <v>0.861883214824391</v>
      </c>
      <c r="D13" s="5" t="inlineStr">
        <is>
          <t>أكثر من 100% = الحفارات لا تكفي عند نسبة التعرية المفترضة</t>
        </is>
      </c>
    </row>
    <row r="14">
      <c r="A14" s="32" t="inlineStr">
        <is>
          <t>التحقق من كفاية الحفارات</t>
        </is>
      </c>
      <c r="B14" s="22" t="n"/>
      <c r="C14" s="22" t="str">
        <f>IF(C13&lt;=1,"كافية — المطلوب "&amp;TEXT(C13,"0%")&amp;" من طاقة الحفارات","غير كافية — المطلوب "&amp;TEXT(C13,"0%")&amp;" من طاقتها؛ يلزم ألا تزيد نسبة التعرية عن "&amp;TEXT(C15,"0.0")&amp;" أو إنتاجية أعلى أو حفارات إضافية")</f>
        <v>كافية — المطلوب 86% من طاقة الحفارات</v>
      </c>
      <c r="D14" s="22" t="n"/>
      <c r="E14" s="22" t="n"/>
      <c r="F14" s="22" t="n"/>
      <c r="G14" s="22" t="n"/>
      <c r="H14" s="22" t="n"/>
    </row>
    <row r="15">
      <c r="A15" s="43" t="inlineStr">
        <is>
          <t>أقصى نسبة تعرية تسمح بها طاقة الحفارات</t>
        </is>
      </c>
      <c r="B15" s="7" t="inlineStr">
        <is>
          <t>طن / طن</t>
        </is>
      </c>
      <c r="C15" s="31">
        <f>IF(ROMCap&gt;0,C12/ROMCap-1,0)</f>
        <v>4.80125</v>
      </c>
      <c r="D15" s="5" t="inlineStr">
        <is>
          <t>للمقارنة بنسبة التعرية في «الافتراضات»</t>
        </is>
      </c>
    </row>
    <row r="16">
      <c r="A16" s="43" t="inlineStr">
        <is>
          <t>للمقارنة: متوسط إنتاج المحجر الواحد في السلطنة (2025)</t>
        </is>
      </c>
      <c r="B16" s="7" t="inlineStr">
        <is>
          <t>طن</t>
        </is>
      </c>
      <c r="C16" s="11">
        <f>NatAvgOutput</f>
        <v>12190.9655172414</v>
      </c>
      <c r="D16" s="5" t="inlineStr">
        <is>
          <t>353,538 طن ÷ 29 محجراً — من ورقة «السوق والسعر»</t>
        </is>
      </c>
    </row>
    <row r="17">
      <c r="A17" s="43" t="inlineStr">
        <is>
          <t>عمر الاحتياطي المفترض عند الطاقة الكاملة</t>
        </is>
      </c>
      <c r="B17" s="7" t="inlineStr">
        <is>
          <t>سنة</t>
        </is>
      </c>
      <c r="C17" s="31">
        <f>IF(ROMCap&gt;0,OreReserve/ROMCap,0)</f>
        <v>5.66666666666667</v>
      </c>
      <c r="D17" s="5" t="inlineStr">
        <is>
          <t>الاحتياطي ÷ الخام المستخرج سنوياً</t>
        </is>
      </c>
    </row>
    <row r="19">
      <c r="A19" s="6" t="inlineStr">
        <is>
          <t>برنامج الإنتاج السنوي</t>
        </is>
      </c>
      <c r="B19" s="6" t="inlineStr">
        <is>
          <t>الوحدة</t>
        </is>
      </c>
      <c r="C19" s="36" t="n">
        <v>0</v>
      </c>
      <c r="D19" s="37" t="n">
        <v>1</v>
      </c>
      <c r="E19" s="37" t="n">
        <v>2</v>
      </c>
      <c r="F19" s="37" t="n">
        <v>3</v>
      </c>
      <c r="G19" s="37" t="n">
        <v>4</v>
      </c>
      <c r="H19" s="37" t="n">
        <v>5</v>
      </c>
      <c r="I19" s="6" t="inlineStr">
        <is>
          <t>الإجمالي</t>
        </is>
      </c>
    </row>
    <row r="20">
      <c r="A20" s="43" t="inlineStr">
        <is>
          <t>نسبة استغلال الطاقة الإنتاجية</t>
        </is>
      </c>
      <c r="B20" s="7" t="inlineStr">
        <is>
          <t>%</t>
        </is>
      </c>
      <c r="D20" s="38" t="n">
        <v>1</v>
      </c>
      <c r="E20" s="38" t="n">
        <v>1</v>
      </c>
      <c r="F20" s="38" t="n">
        <v>1</v>
      </c>
      <c r="G20" s="38" t="n">
        <v>1</v>
      </c>
      <c r="H20" s="38" t="n">
        <v>1</v>
      </c>
    </row>
    <row r="21">
      <c r="A21" s="43" t="inlineStr">
        <is>
          <t>نسبة الأعباء الإضافية لتتبع العروق إلى باطن الأرض</t>
        </is>
      </c>
      <c r="B21" s="7" t="inlineStr">
        <is>
          <t>%</t>
        </is>
      </c>
      <c r="D21" s="38" t="n">
        <v>0</v>
      </c>
      <c r="E21" s="38" t="n">
        <v>0.1</v>
      </c>
      <c r="F21" s="38" t="n">
        <v>0.2</v>
      </c>
      <c r="G21" s="38" t="n">
        <v>0.3</v>
      </c>
      <c r="H21" s="38" t="n">
        <v>0.4</v>
      </c>
    </row>
    <row r="22">
      <c r="A22" s="43" t="inlineStr">
        <is>
          <t>إجمالي الصخور المحفورة</t>
        </is>
      </c>
      <c r="B22" s="7" t="inlineStr">
        <is>
          <t>طن</t>
        </is>
      </c>
      <c r="D22" s="11">
        <f>RockCap*D20</f>
        <v>352941.176470588</v>
      </c>
      <c r="E22" s="11">
        <f>RockCap*E20</f>
        <v>352941.176470588</v>
      </c>
      <c r="F22" s="11">
        <f>RockCap*F20</f>
        <v>352941.176470588</v>
      </c>
      <c r="G22" s="11">
        <f>RockCap*G20</f>
        <v>352941.176470588</v>
      </c>
      <c r="H22" s="11">
        <f>RockCap*H20</f>
        <v>352941.176470588</v>
      </c>
      <c r="I22" s="12">
        <f>SUM(D22:H22)</f>
        <v>1764705.88235294</v>
      </c>
    </row>
    <row r="23">
      <c r="A23" s="43" t="inlineStr">
        <is>
          <t>الخام الخارج من المحجر (ROM)</t>
        </is>
      </c>
      <c r="B23" s="7" t="inlineStr">
        <is>
          <t>طن</t>
        </is>
      </c>
      <c r="D23" s="11">
        <f>ROMCap*D20</f>
        <v>70588.2352941177</v>
      </c>
      <c r="E23" s="11">
        <f>ROMCap*E20</f>
        <v>70588.2352941177</v>
      </c>
      <c r="F23" s="11">
        <f>ROMCap*F20</f>
        <v>70588.2352941177</v>
      </c>
      <c r="G23" s="11">
        <f>ROMCap*G20</f>
        <v>70588.2352941177</v>
      </c>
      <c r="H23" s="11">
        <f>ROMCap*H20</f>
        <v>70588.2352941177</v>
      </c>
      <c r="I23" s="12">
        <f>SUM(D23:H23)</f>
        <v>352941.176470588</v>
      </c>
    </row>
    <row r="24">
      <c r="A24" s="32" t="inlineStr">
        <is>
          <t>الخام القابل للبيع</t>
        </is>
      </c>
      <c r="B24" s="7" t="inlineStr">
        <is>
          <t>طن</t>
        </is>
      </c>
      <c r="D24" s="13">
        <f>D23*SortRecov*F_Vol</f>
        <v>60000</v>
      </c>
      <c r="E24" s="13">
        <f>E23*SortRecov*F_Vol</f>
        <v>60000</v>
      </c>
      <c r="F24" s="13">
        <f>F23*SortRecov*F_Vol</f>
        <v>60000</v>
      </c>
      <c r="G24" s="13">
        <f>G23*SortRecov*F_Vol</f>
        <v>60000</v>
      </c>
      <c r="H24" s="13">
        <f>H23*SortRecov*F_Vol</f>
        <v>60000</v>
      </c>
      <c r="I24" s="12">
        <f>SUM(D24:H24)</f>
        <v>300000</v>
      </c>
    </row>
    <row r="25">
      <c r="A25" s="43" t="inlineStr">
        <is>
          <t>ساعات إيجار الحفارات (شاملة أعباء تتبع العروق)</t>
        </is>
      </c>
      <c r="B25" s="7" t="inlineStr">
        <is>
          <t>ساعة</t>
        </is>
      </c>
      <c r="D25" s="11">
        <f>ExcavNo*SchedHrs*D20*(1+D21)</f>
        <v>15600</v>
      </c>
      <c r="E25" s="11">
        <f>ExcavNo*SchedHrs*E20*(1+E21)</f>
        <v>17160</v>
      </c>
      <c r="F25" s="11">
        <f>ExcavNo*SchedHrs*F20*(1+F21)</f>
        <v>18720</v>
      </c>
      <c r="G25" s="11">
        <f>ExcavNo*SchedHrs*G20*(1+G21)</f>
        <v>20280</v>
      </c>
      <c r="H25" s="11">
        <f>ExcavNo*SchedHrs*H20*(1+H21)</f>
        <v>21840</v>
      </c>
      <c r="I25" s="12">
        <f>SUM(D25:H25)</f>
        <v>93600</v>
      </c>
    </row>
    <row r="26">
      <c r="A26" s="43" t="inlineStr">
        <is>
          <t>الاستنزاف التراكمي للاحتياطي</t>
        </is>
      </c>
      <c r="B26" s="7" t="inlineStr">
        <is>
          <t>طن</t>
        </is>
      </c>
      <c r="D26" s="11">
        <f>SUM($D$23:D23)</f>
        <v>70588.2352941177</v>
      </c>
      <c r="E26" s="11">
        <f>SUM($D$23:E23)</f>
        <v>141176.470588235</v>
      </c>
      <c r="F26" s="11">
        <f>SUM($D$23:F23)</f>
        <v>211764.705882353</v>
      </c>
      <c r="G26" s="11">
        <f>SUM($D$23:G23)</f>
        <v>282352.941176471</v>
      </c>
      <c r="H26" s="11">
        <f>SUM($D$23:H23)</f>
        <v>352941.176470588</v>
      </c>
    </row>
    <row r="27">
      <c r="A27" s="43" t="inlineStr">
        <is>
          <t>الاحتياطي المتبقي آخر السنة</t>
        </is>
      </c>
      <c r="B27" s="7" t="inlineStr">
        <is>
          <t>طن</t>
        </is>
      </c>
      <c r="C27" s="11">
        <f>OreReserve</f>
        <v>400000</v>
      </c>
      <c r="D27" s="11">
        <f>OreReserve-D26</f>
        <v>329411.764705882</v>
      </c>
      <c r="E27" s="11">
        <f>OreReserve-E26</f>
        <v>258823.529411765</v>
      </c>
      <c r="F27" s="11">
        <f>OreReserve-F26</f>
        <v>188235.294117647</v>
      </c>
      <c r="G27" s="11">
        <f>OreReserve-G26</f>
        <v>117647.058823529</v>
      </c>
      <c r="H27" s="11">
        <f>OreReserve-H26</f>
        <v>47058.8235294118</v>
      </c>
    </row>
    <row r="28">
      <c r="A28" s="32" t="inlineStr">
        <is>
          <t>كفاية الاحتياطي لمدة الدراسة</t>
        </is>
      </c>
      <c r="B28" s="21" t="str">
        <f>IF($H$27&gt;=0,"الاحتياطي المفترض كافٍ لخمس سنوات تشغيل","تنبيه: الاحتياطي المفترض ("&amp;TEXT(OreReserve,"#,##0")&amp;" طن) لا يكفي — المطلوب "&amp;TEXT($H$26,"#,##0")&amp;" طن خام لخمس سنوات")</f>
        <v>الاحتياطي المفترض كافٍ لخمس سنوات تشغيل</v>
      </c>
      <c r="C28" s="22" t="n"/>
      <c r="D28" s="22" t="n"/>
      <c r="E28" s="22" t="n"/>
      <c r="F28" s="22" t="n"/>
      <c r="G28" s="22" t="n"/>
      <c r="H28" s="22" t="n"/>
      <c r="I28" s="22" t="n"/>
    </row>
    <row r="29">
      <c r="A29" s="5" t="inlineStr">
        <is>
          <t>نسبة الأعباء الإضافية تمثل الزيادة في ساعات الحفر والقطع والتحميل مع تعمّق العروق (ممرات أضيق، مسافات نقل أطول، تدعيم وتصريف مياه). تُطبَّق على إيجار الحفارات والمواد المستهلكة المتغيرة — قيم تقديرية قابلة للتعديل.</t>
        </is>
      </c>
    </row>
    <row r="31">
      <c r="A31" s="15" t="inlineStr">
        <is>
          <t>أسلوب التعدين وتسلسل العمليات</t>
        </is>
      </c>
    </row>
    <row r="32">
      <c r="A32" s="2" t="inlineStr">
        <is>
          <t>1) محجر جبلي مكشوف في المرحلة الأولى، ثم تتبع عروق الكروم بالحفر والقطع إلى باطن الأرض ابتداءً من السنة الثانية.</t>
        </is>
      </c>
    </row>
    <row r="33">
      <c r="A33" s="2" t="inlineStr">
        <is>
          <t>2) التكسير والقطع والتحميل بخمسة حفارات مستأجرة بالساعة (12 ر.ع/ساعة شاملة المعدة والمشغل والديزل)، 10 ساعات يومياً و6 أيام أسبوعياً.</t>
        </is>
      </c>
    </row>
    <row r="34">
      <c r="A34" s="2" t="inlineStr">
        <is>
          <t>3) نقل الخام بقلاب مملوك إلى ساحة الفرز، والتجميع والتحميل بشيول مملوك؛ العقيم يُزاح ويُرصّ في المرمى بالحفارات.</t>
        </is>
      </c>
    </row>
    <row r="35">
      <c r="A35" s="2" t="inlineStr">
        <is>
          <t>4) فرز وتنقية الخام يدوياً لرفع الدرجة، ثم أخذ العينات وتحليلها والبيع من موقع التجميع.</t>
        </is>
      </c>
    </row>
    <row r="36">
      <c r="A36" s="2" t="inlineStr">
        <is>
          <t>5) إعادة تأهيل تدريجية وفق التصريح البيئي وخطة الإغلاق.</t>
        </is>
      </c>
    </row>
    <row r="37">
      <c r="A37" s="5" t="inlineStr">
        <is>
          <t>ملاحظة: الأعمال تحت السطح قد تتطلب اشتراطات سلامة وموافقات إضافية من وزارة الطاقة والمعادن — تُؤكَّد قبل التنفيذ. الدراسة لا تتضمن تفجيراً.</t>
        </is>
      </c>
    </row>
  </sheetData>
  <pageMargins left="0.3888888888888889" right="0.3888888888888889" top="0.5" bottom="0.5" header="0.3" footer="0.3"/>
  <pageSetup orientation="landscape" paperSize="9" scale="62" fitToHeight="0" verticalDpi="0"/>
  <headerFooter>
    <oddHeader/>
    <oddFooter>&amp;C&amp;P / &amp;N</oddFooter>
    <evenHeader/>
    <evenFooter/>
    <firstHeader/>
    <firstFooter/>
  </headerFooter>
</worksheet>
</file>

<file path=xl/worksheets/sheet7.xml><?xml version="1.0" encoding="utf-8"?>
<worksheet xmlns="http://schemas.openxmlformats.org/spreadsheetml/2006/main">
  <sheetPr>
    <tabColor rgb="FF1F3864"/>
    <outlinePr summaryBelow="1" summaryRight="1"/>
    <pageSetUpPr fitToPage="1"/>
  </sheetPr>
  <dimension ref="A1:P66"/>
  <sheetViews>
    <sheetView showGridLines="0" rightToLeft="1" zoomScale="90" zoomScaleNormal="90" workbookViewId="0">
      <pane xSplit="1" ySplit="5" topLeftCell="B6" activePane="bottomRight" state="frozen"/>
      <selection pane="topRight" activeCell="A1" sqref="A1"/>
      <selection pane="bottomLeft" activeCell="A1" sqref="A1"/>
      <selection pane="bottomRight" activeCell="N6" sqref="N6"/>
    </sheetView>
  </sheetViews>
  <sheetFormatPr baseColWidth="8" defaultRowHeight="12.75"/>
  <cols>
    <col width="13" customWidth="1" style="1" min="1" max="1"/>
    <col width="9.5" customWidth="1" style="1" min="2" max="3"/>
    <col width="9.5" customWidth="1" style="1" min="4" max="4"/>
    <col width="11" customWidth="1" style="1" min="5" max="5"/>
    <col width="15" customWidth="1" style="1" min="6" max="8"/>
    <col width="15" customWidth="1" style="1" min="9" max="9"/>
    <col width="15" customWidth="1" style="1" min="10" max="11"/>
    <col width="3" customWidth="1" style="1" min="12" max="12"/>
    <col width="34" customWidth="1" style="1" min="13" max="13"/>
    <col width="18" customWidth="1" style="1" min="14" max="16"/>
  </cols>
  <sheetData>
    <row r="1">
      <c r="A1" s="3" t="inlineStr">
        <is>
          <t>برنامج الإنتاج الشهري</t>
        </is>
      </c>
    </row>
    <row r="2">
      <c r="A2" s="5" t="inlineStr">
        <is>
          <t>يوزّع الإنتاج السنوي من «الخطة الفنية والإنتاج» على الأشهر بحسب أيام العمل في كل شهر. السنة الأولى تبدأ من شهر بدء الإنتاج في «الجدول الزمني». الخلايا الصفراء فقط قابلة للتعديل.</t>
        </is>
      </c>
    </row>
    <row r="4">
      <c r="A4" s="15" t="inlineStr">
        <is>
          <t>أولاً: الإنتاج الشهري — 5 سنوات تشغيل (60 شهراً)</t>
        </is>
      </c>
      <c r="B4" s="15" t="n"/>
      <c r="C4" s="15" t="n"/>
      <c r="D4" s="15" t="n"/>
      <c r="E4" s="15" t="n"/>
      <c r="F4" s="15" t="n"/>
      <c r="G4" s="15" t="n"/>
      <c r="H4" s="15" t="n"/>
      <c r="I4" s="15" t="n"/>
      <c r="J4" s="15" t="n"/>
      <c r="K4" s="15" t="n"/>
      <c r="M4" s="15" t="inlineStr">
        <is>
          <t>ثانياً: أيام العمل في كل شهر</t>
        </is>
      </c>
      <c r="N4" s="15" t="n"/>
    </row>
    <row r="5" ht="39" customHeight="1">
      <c r="A5" s="6" t="inlineStr">
        <is>
          <t>الشهر</t>
        </is>
      </c>
      <c r="B5" s="6" t="inlineStr">
        <is>
          <t>سنة التشغيل</t>
        </is>
      </c>
      <c r="C5" s="6" t="inlineStr">
        <is>
          <t>رقم الشهر</t>
        </is>
      </c>
      <c r="D5" s="6" t="inlineStr">
        <is>
          <t>أيام العمل</t>
        </is>
      </c>
      <c r="E5" s="6" t="inlineStr">
        <is>
          <t>نسبة استغلال الطاقة</t>
        </is>
      </c>
      <c r="F5" s="6" t="inlineStr">
        <is>
          <t>إجمالي الصخور المحفورة (طن)</t>
        </is>
      </c>
      <c r="G5" s="6" t="inlineStr">
        <is>
          <t>الخام الخارج من المحجر ROM (طن)</t>
        </is>
      </c>
      <c r="H5" s="6" t="inlineStr">
        <is>
          <t>الخام القابل للبيع (طن)</t>
        </is>
      </c>
      <c r="I5" s="6" t="inlineStr">
        <is>
          <t>متوسط الإنتاج اليومي القابل للبيع (طن/يوم)</t>
        </is>
      </c>
      <c r="J5" s="6" t="inlineStr">
        <is>
          <t>الخام القابل للبيع — تراكمي (طن)</t>
        </is>
      </c>
      <c r="K5" s="6" t="inlineStr">
        <is>
          <t>الاحتياطي المتبقي آخر الشهر (طن)</t>
        </is>
      </c>
      <c r="M5" s="6" t="inlineStr">
        <is>
          <t>الشهر</t>
        </is>
      </c>
      <c r="N5" s="6" t="inlineStr">
        <is>
          <t>أيام العمل</t>
        </is>
      </c>
    </row>
    <row r="6">
      <c r="A6" s="52">
        <f>EDATE($N$21,C6-1)</f>
        <v>46661</v>
      </c>
      <c r="B6" s="7">
        <f>INT((C6-1)/12)+1</f>
        <v>1</v>
      </c>
      <c r="C6" s="7" t="n">
        <v>1</v>
      </c>
      <c r="D6" s="11">
        <f>INDEX($N$6:$N$17,MONTH(A6))</f>
        <v>26</v>
      </c>
      <c r="E6" s="17">
        <f>INDEX('الخطة الفنية والإنتاج'!$D$20:$H$20,B6)</f>
        <v>1</v>
      </c>
      <c r="F6" s="11">
        <f>IF($N$18&gt;0,INDEX('الخطة الفنية والإنتاج'!$D$22:$H$22,B6)*D6/$N$18,0)</f>
        <v>29411.7647058824</v>
      </c>
      <c r="G6" s="11">
        <f>IF($N$18&gt;0,INDEX('الخطة الفنية والإنتاج'!$D$23:$H$23,B6)*D6/$N$18,0)</f>
        <v>5882.35294117647</v>
      </c>
      <c r="H6" s="13">
        <f>IF($N$18&gt;0,INDEX('الخطة الفنية والإنتاج'!$D$24:$H$24,B6)*D6/$N$18,0)</f>
        <v>5000</v>
      </c>
      <c r="I6" s="31">
        <f>IF(D6&gt;0,H6/D6,0)</f>
        <v>192.307692307692</v>
      </c>
      <c r="J6" s="11">
        <f>SUM($H$6:H6)</f>
        <v>5000</v>
      </c>
      <c r="K6" s="11">
        <f>OreReserve-SUM($G$6:G6)</f>
        <v>394117.647058824</v>
      </c>
      <c r="M6" s="43" t="inlineStr">
        <is>
          <t>يناير</t>
        </is>
      </c>
      <c r="N6" s="10" t="n">
        <v>26</v>
      </c>
    </row>
    <row r="7">
      <c r="A7" s="52">
        <f>EDATE($N$21,C7-1)</f>
        <v>46692</v>
      </c>
      <c r="B7" s="7">
        <f>INT((C7-1)/12)+1</f>
        <v>1</v>
      </c>
      <c r="C7" s="7" t="n">
        <v>2</v>
      </c>
      <c r="D7" s="11">
        <f>INDEX($N$6:$N$17,MONTH(A7))</f>
        <v>26</v>
      </c>
      <c r="E7" s="17">
        <f>INDEX('الخطة الفنية والإنتاج'!$D$20:$H$20,B7)</f>
        <v>1</v>
      </c>
      <c r="F7" s="11">
        <f>IF($N$18&gt;0,INDEX('الخطة الفنية والإنتاج'!$D$22:$H$22,B7)*D7/$N$18,0)</f>
        <v>29411.7647058824</v>
      </c>
      <c r="G7" s="11">
        <f>IF($N$18&gt;0,INDEX('الخطة الفنية والإنتاج'!$D$23:$H$23,B7)*D7/$N$18,0)</f>
        <v>5882.35294117647</v>
      </c>
      <c r="H7" s="13">
        <f>IF($N$18&gt;0,INDEX('الخطة الفنية والإنتاج'!$D$24:$H$24,B7)*D7/$N$18,0)</f>
        <v>5000</v>
      </c>
      <c r="I7" s="31">
        <f>IF(D7&gt;0,H7/D7,0)</f>
        <v>192.307692307692</v>
      </c>
      <c r="J7" s="11">
        <f>SUM($H$6:H7)</f>
        <v>10000</v>
      </c>
      <c r="K7" s="11">
        <f>OreReserve-SUM($G$6:G7)</f>
        <v>388235.294117647</v>
      </c>
      <c r="M7" s="43" t="inlineStr">
        <is>
          <t>فبراير</t>
        </is>
      </c>
      <c r="N7" s="10" t="n">
        <v>26</v>
      </c>
    </row>
    <row r="8">
      <c r="A8" s="52">
        <f>EDATE($N$21,C8-1)</f>
        <v>46722</v>
      </c>
      <c r="B8" s="7">
        <f>INT((C8-1)/12)+1</f>
        <v>1</v>
      </c>
      <c r="C8" s="7" t="n">
        <v>3</v>
      </c>
      <c r="D8" s="11">
        <f>INDEX($N$6:$N$17,MONTH(A8))</f>
        <v>26</v>
      </c>
      <c r="E8" s="17">
        <f>INDEX('الخطة الفنية والإنتاج'!$D$20:$H$20,B8)</f>
        <v>1</v>
      </c>
      <c r="F8" s="11">
        <f>IF($N$18&gt;0,INDEX('الخطة الفنية والإنتاج'!$D$22:$H$22,B8)*D8/$N$18,0)</f>
        <v>29411.7647058824</v>
      </c>
      <c r="G8" s="11">
        <f>IF($N$18&gt;0,INDEX('الخطة الفنية والإنتاج'!$D$23:$H$23,B8)*D8/$N$18,0)</f>
        <v>5882.35294117647</v>
      </c>
      <c r="H8" s="13">
        <f>IF($N$18&gt;0,INDEX('الخطة الفنية والإنتاج'!$D$24:$H$24,B8)*D8/$N$18,0)</f>
        <v>5000</v>
      </c>
      <c r="I8" s="31">
        <f>IF(D8&gt;0,H8/D8,0)</f>
        <v>192.307692307692</v>
      </c>
      <c r="J8" s="11">
        <f>SUM($H$6:H8)</f>
        <v>15000</v>
      </c>
      <c r="K8" s="11">
        <f>OreReserve-SUM($G$6:G8)</f>
        <v>382352.941176471</v>
      </c>
      <c r="M8" s="43" t="inlineStr">
        <is>
          <t>مارس</t>
        </is>
      </c>
      <c r="N8" s="10" t="n">
        <v>26</v>
      </c>
    </row>
    <row r="9">
      <c r="A9" s="52">
        <f>EDATE($N$21,C9-1)</f>
        <v>46753</v>
      </c>
      <c r="B9" s="7">
        <f>INT((C9-1)/12)+1</f>
        <v>1</v>
      </c>
      <c r="C9" s="7" t="n">
        <v>4</v>
      </c>
      <c r="D9" s="11">
        <f>INDEX($N$6:$N$17,MONTH(A9))</f>
        <v>26</v>
      </c>
      <c r="E9" s="17">
        <f>INDEX('الخطة الفنية والإنتاج'!$D$20:$H$20,B9)</f>
        <v>1</v>
      </c>
      <c r="F9" s="11">
        <f>IF($N$18&gt;0,INDEX('الخطة الفنية والإنتاج'!$D$22:$H$22,B9)*D9/$N$18,0)</f>
        <v>29411.7647058824</v>
      </c>
      <c r="G9" s="11">
        <f>IF($N$18&gt;0,INDEX('الخطة الفنية والإنتاج'!$D$23:$H$23,B9)*D9/$N$18,0)</f>
        <v>5882.35294117647</v>
      </c>
      <c r="H9" s="13">
        <f>IF($N$18&gt;0,INDEX('الخطة الفنية والإنتاج'!$D$24:$H$24,B9)*D9/$N$18,0)</f>
        <v>5000</v>
      </c>
      <c r="I9" s="31">
        <f>IF(D9&gt;0,H9/D9,0)</f>
        <v>192.307692307692</v>
      </c>
      <c r="J9" s="11">
        <f>SUM($H$6:H9)</f>
        <v>20000</v>
      </c>
      <c r="K9" s="11">
        <f>OreReserve-SUM($G$6:G9)</f>
        <v>376470.588235294</v>
      </c>
      <c r="M9" s="43" t="inlineStr">
        <is>
          <t>أبريل</t>
        </is>
      </c>
      <c r="N9" s="10" t="n">
        <v>26</v>
      </c>
    </row>
    <row r="10">
      <c r="A10" s="52">
        <f>EDATE($N$21,C10-1)</f>
        <v>46784</v>
      </c>
      <c r="B10" s="7">
        <f>INT((C10-1)/12)+1</f>
        <v>1</v>
      </c>
      <c r="C10" s="7" t="n">
        <v>5</v>
      </c>
      <c r="D10" s="11">
        <f>INDEX($N$6:$N$17,MONTH(A10))</f>
        <v>26</v>
      </c>
      <c r="E10" s="17">
        <f>INDEX('الخطة الفنية والإنتاج'!$D$20:$H$20,B10)</f>
        <v>1</v>
      </c>
      <c r="F10" s="11">
        <f>IF($N$18&gt;0,INDEX('الخطة الفنية والإنتاج'!$D$22:$H$22,B10)*D10/$N$18,0)</f>
        <v>29411.7647058824</v>
      </c>
      <c r="G10" s="11">
        <f>IF($N$18&gt;0,INDEX('الخطة الفنية والإنتاج'!$D$23:$H$23,B10)*D10/$N$18,0)</f>
        <v>5882.35294117647</v>
      </c>
      <c r="H10" s="13">
        <f>IF($N$18&gt;0,INDEX('الخطة الفنية والإنتاج'!$D$24:$H$24,B10)*D10/$N$18,0)</f>
        <v>5000</v>
      </c>
      <c r="I10" s="31">
        <f>IF(D10&gt;0,H10/D10,0)</f>
        <v>192.307692307692</v>
      </c>
      <c r="J10" s="11">
        <f>SUM($H$6:H10)</f>
        <v>25000</v>
      </c>
      <c r="K10" s="11">
        <f>OreReserve-SUM($G$6:G10)</f>
        <v>370588.235294118</v>
      </c>
      <c r="M10" s="43" t="inlineStr">
        <is>
          <t>مايو</t>
        </is>
      </c>
      <c r="N10" s="10" t="n">
        <v>26</v>
      </c>
    </row>
    <row r="11">
      <c r="A11" s="52">
        <f>EDATE($N$21,C11-1)</f>
        <v>46813</v>
      </c>
      <c r="B11" s="7">
        <f>INT((C11-1)/12)+1</f>
        <v>1</v>
      </c>
      <c r="C11" s="7" t="n">
        <v>6</v>
      </c>
      <c r="D11" s="11">
        <f>INDEX($N$6:$N$17,MONTH(A11))</f>
        <v>26</v>
      </c>
      <c r="E11" s="17">
        <f>INDEX('الخطة الفنية والإنتاج'!$D$20:$H$20,B11)</f>
        <v>1</v>
      </c>
      <c r="F11" s="11">
        <f>IF($N$18&gt;0,INDEX('الخطة الفنية والإنتاج'!$D$22:$H$22,B11)*D11/$N$18,0)</f>
        <v>29411.7647058824</v>
      </c>
      <c r="G11" s="11">
        <f>IF($N$18&gt;0,INDEX('الخطة الفنية والإنتاج'!$D$23:$H$23,B11)*D11/$N$18,0)</f>
        <v>5882.35294117647</v>
      </c>
      <c r="H11" s="13">
        <f>IF($N$18&gt;0,INDEX('الخطة الفنية والإنتاج'!$D$24:$H$24,B11)*D11/$N$18,0)</f>
        <v>5000</v>
      </c>
      <c r="I11" s="31">
        <f>IF(D11&gt;0,H11/D11,0)</f>
        <v>192.307692307692</v>
      </c>
      <c r="J11" s="11">
        <f>SUM($H$6:H11)</f>
        <v>30000</v>
      </c>
      <c r="K11" s="11">
        <f>OreReserve-SUM($G$6:G11)</f>
        <v>364705.882352941</v>
      </c>
      <c r="M11" s="43" t="inlineStr">
        <is>
          <t>يونيو</t>
        </is>
      </c>
      <c r="N11" s="10" t="n">
        <v>26</v>
      </c>
    </row>
    <row r="12">
      <c r="A12" s="52">
        <f>EDATE($N$21,C12-1)</f>
        <v>46844</v>
      </c>
      <c r="B12" s="7">
        <f>INT((C12-1)/12)+1</f>
        <v>1</v>
      </c>
      <c r="C12" s="7" t="n">
        <v>7</v>
      </c>
      <c r="D12" s="11">
        <f>INDEX($N$6:$N$17,MONTH(A12))</f>
        <v>26</v>
      </c>
      <c r="E12" s="17">
        <f>INDEX('الخطة الفنية والإنتاج'!$D$20:$H$20,B12)</f>
        <v>1</v>
      </c>
      <c r="F12" s="11">
        <f>IF($N$18&gt;0,INDEX('الخطة الفنية والإنتاج'!$D$22:$H$22,B12)*D12/$N$18,0)</f>
        <v>29411.7647058824</v>
      </c>
      <c r="G12" s="11">
        <f>IF($N$18&gt;0,INDEX('الخطة الفنية والإنتاج'!$D$23:$H$23,B12)*D12/$N$18,0)</f>
        <v>5882.35294117647</v>
      </c>
      <c r="H12" s="13">
        <f>IF($N$18&gt;0,INDEX('الخطة الفنية والإنتاج'!$D$24:$H$24,B12)*D12/$N$18,0)</f>
        <v>5000</v>
      </c>
      <c r="I12" s="31">
        <f>IF(D12&gt;0,H12/D12,0)</f>
        <v>192.307692307692</v>
      </c>
      <c r="J12" s="11">
        <f>SUM($H$6:H12)</f>
        <v>35000</v>
      </c>
      <c r="K12" s="11">
        <f>OreReserve-SUM($G$6:G12)</f>
        <v>358823.529411765</v>
      </c>
      <c r="M12" s="43" t="inlineStr">
        <is>
          <t>يوليو</t>
        </is>
      </c>
      <c r="N12" s="10" t="n">
        <v>26</v>
      </c>
    </row>
    <row r="13">
      <c r="A13" s="52">
        <f>EDATE($N$21,C13-1)</f>
        <v>46874</v>
      </c>
      <c r="B13" s="7">
        <f>INT((C13-1)/12)+1</f>
        <v>1</v>
      </c>
      <c r="C13" s="7" t="n">
        <v>8</v>
      </c>
      <c r="D13" s="11">
        <f>INDEX($N$6:$N$17,MONTH(A13))</f>
        <v>26</v>
      </c>
      <c r="E13" s="17">
        <f>INDEX('الخطة الفنية والإنتاج'!$D$20:$H$20,B13)</f>
        <v>1</v>
      </c>
      <c r="F13" s="11">
        <f>IF($N$18&gt;0,INDEX('الخطة الفنية والإنتاج'!$D$22:$H$22,B13)*D13/$N$18,0)</f>
        <v>29411.7647058824</v>
      </c>
      <c r="G13" s="11">
        <f>IF($N$18&gt;0,INDEX('الخطة الفنية والإنتاج'!$D$23:$H$23,B13)*D13/$N$18,0)</f>
        <v>5882.35294117647</v>
      </c>
      <c r="H13" s="13">
        <f>IF($N$18&gt;0,INDEX('الخطة الفنية والإنتاج'!$D$24:$H$24,B13)*D13/$N$18,0)</f>
        <v>5000</v>
      </c>
      <c r="I13" s="31">
        <f>IF(D13&gt;0,H13/D13,0)</f>
        <v>192.307692307692</v>
      </c>
      <c r="J13" s="11">
        <f>SUM($H$6:H13)</f>
        <v>40000</v>
      </c>
      <c r="K13" s="11">
        <f>OreReserve-SUM($G$6:G13)</f>
        <v>352941.176470588</v>
      </c>
      <c r="M13" s="43" t="inlineStr">
        <is>
          <t>أغسطس</t>
        </is>
      </c>
      <c r="N13" s="10" t="n">
        <v>26</v>
      </c>
    </row>
    <row r="14">
      <c r="A14" s="52">
        <f>EDATE($N$21,C14-1)</f>
        <v>46905</v>
      </c>
      <c r="B14" s="7">
        <f>INT((C14-1)/12)+1</f>
        <v>1</v>
      </c>
      <c r="C14" s="7" t="n">
        <v>9</v>
      </c>
      <c r="D14" s="11">
        <f>INDEX($N$6:$N$17,MONTH(A14))</f>
        <v>26</v>
      </c>
      <c r="E14" s="17">
        <f>INDEX('الخطة الفنية والإنتاج'!$D$20:$H$20,B14)</f>
        <v>1</v>
      </c>
      <c r="F14" s="11">
        <f>IF($N$18&gt;0,INDEX('الخطة الفنية والإنتاج'!$D$22:$H$22,B14)*D14/$N$18,0)</f>
        <v>29411.7647058824</v>
      </c>
      <c r="G14" s="11">
        <f>IF($N$18&gt;0,INDEX('الخطة الفنية والإنتاج'!$D$23:$H$23,B14)*D14/$N$18,0)</f>
        <v>5882.35294117647</v>
      </c>
      <c r="H14" s="13">
        <f>IF($N$18&gt;0,INDEX('الخطة الفنية والإنتاج'!$D$24:$H$24,B14)*D14/$N$18,0)</f>
        <v>5000</v>
      </c>
      <c r="I14" s="31">
        <f>IF(D14&gt;0,H14/D14,0)</f>
        <v>192.307692307692</v>
      </c>
      <c r="J14" s="11">
        <f>SUM($H$6:H14)</f>
        <v>45000</v>
      </c>
      <c r="K14" s="11">
        <f>OreReserve-SUM($G$6:G14)</f>
        <v>347058.823529412</v>
      </c>
      <c r="M14" s="43" t="inlineStr">
        <is>
          <t>سبتمبر</t>
        </is>
      </c>
      <c r="N14" s="10" t="n">
        <v>26</v>
      </c>
    </row>
    <row r="15">
      <c r="A15" s="52">
        <f>EDATE($N$21,C15-1)</f>
        <v>46935</v>
      </c>
      <c r="B15" s="7">
        <f>INT((C15-1)/12)+1</f>
        <v>1</v>
      </c>
      <c r="C15" s="7" t="n">
        <v>10</v>
      </c>
      <c r="D15" s="11">
        <f>INDEX($N$6:$N$17,MONTH(A15))</f>
        <v>26</v>
      </c>
      <c r="E15" s="17">
        <f>INDEX('الخطة الفنية والإنتاج'!$D$20:$H$20,B15)</f>
        <v>1</v>
      </c>
      <c r="F15" s="11">
        <f>IF($N$18&gt;0,INDEX('الخطة الفنية والإنتاج'!$D$22:$H$22,B15)*D15/$N$18,0)</f>
        <v>29411.7647058824</v>
      </c>
      <c r="G15" s="11">
        <f>IF($N$18&gt;0,INDEX('الخطة الفنية والإنتاج'!$D$23:$H$23,B15)*D15/$N$18,0)</f>
        <v>5882.35294117647</v>
      </c>
      <c r="H15" s="13">
        <f>IF($N$18&gt;0,INDEX('الخطة الفنية والإنتاج'!$D$24:$H$24,B15)*D15/$N$18,0)</f>
        <v>5000</v>
      </c>
      <c r="I15" s="31">
        <f>IF(D15&gt;0,H15/D15,0)</f>
        <v>192.307692307692</v>
      </c>
      <c r="J15" s="11">
        <f>SUM($H$6:H15)</f>
        <v>50000</v>
      </c>
      <c r="K15" s="11">
        <f>OreReserve-SUM($G$6:G15)</f>
        <v>341176.470588235</v>
      </c>
      <c r="M15" s="43" t="inlineStr">
        <is>
          <t>أكتوبر</t>
        </is>
      </c>
      <c r="N15" s="10" t="n">
        <v>26</v>
      </c>
    </row>
    <row r="16">
      <c r="A16" s="52">
        <f>EDATE($N$21,C16-1)</f>
        <v>46966</v>
      </c>
      <c r="B16" s="7">
        <f>INT((C16-1)/12)+1</f>
        <v>1</v>
      </c>
      <c r="C16" s="7" t="n">
        <v>11</v>
      </c>
      <c r="D16" s="11">
        <f>INDEX($N$6:$N$17,MONTH(A16))</f>
        <v>26</v>
      </c>
      <c r="E16" s="17">
        <f>INDEX('الخطة الفنية والإنتاج'!$D$20:$H$20,B16)</f>
        <v>1</v>
      </c>
      <c r="F16" s="11">
        <f>IF($N$18&gt;0,INDEX('الخطة الفنية والإنتاج'!$D$22:$H$22,B16)*D16/$N$18,0)</f>
        <v>29411.7647058824</v>
      </c>
      <c r="G16" s="11">
        <f>IF($N$18&gt;0,INDEX('الخطة الفنية والإنتاج'!$D$23:$H$23,B16)*D16/$N$18,0)</f>
        <v>5882.35294117647</v>
      </c>
      <c r="H16" s="13">
        <f>IF($N$18&gt;0,INDEX('الخطة الفنية والإنتاج'!$D$24:$H$24,B16)*D16/$N$18,0)</f>
        <v>5000</v>
      </c>
      <c r="I16" s="31">
        <f>IF(D16&gt;0,H16/D16,0)</f>
        <v>192.307692307692</v>
      </c>
      <c r="J16" s="11">
        <f>SUM($H$6:H16)</f>
        <v>55000</v>
      </c>
      <c r="K16" s="11">
        <f>OreReserve-SUM($G$6:G16)</f>
        <v>335294.117647059</v>
      </c>
      <c r="M16" s="43" t="inlineStr">
        <is>
          <t>نوفمبر</t>
        </is>
      </c>
      <c r="N16" s="10" t="n">
        <v>26</v>
      </c>
    </row>
    <row r="17">
      <c r="A17" s="52">
        <f>EDATE($N$21,C17-1)</f>
        <v>46997</v>
      </c>
      <c r="B17" s="7">
        <f>INT((C17-1)/12)+1</f>
        <v>1</v>
      </c>
      <c r="C17" s="7" t="n">
        <v>12</v>
      </c>
      <c r="D17" s="11">
        <f>INDEX($N$6:$N$17,MONTH(A17))</f>
        <v>26</v>
      </c>
      <c r="E17" s="17">
        <f>INDEX('الخطة الفنية والإنتاج'!$D$20:$H$20,B17)</f>
        <v>1</v>
      </c>
      <c r="F17" s="11">
        <f>IF($N$18&gt;0,INDEX('الخطة الفنية والإنتاج'!$D$22:$H$22,B17)*D17/$N$18,0)</f>
        <v>29411.7647058824</v>
      </c>
      <c r="G17" s="11">
        <f>IF($N$18&gt;0,INDEX('الخطة الفنية والإنتاج'!$D$23:$H$23,B17)*D17/$N$18,0)</f>
        <v>5882.35294117647</v>
      </c>
      <c r="H17" s="13">
        <f>IF($N$18&gt;0,INDEX('الخطة الفنية والإنتاج'!$D$24:$H$24,B17)*D17/$N$18,0)</f>
        <v>5000</v>
      </c>
      <c r="I17" s="31">
        <f>IF(D17&gt;0,H17/D17,0)</f>
        <v>192.307692307692</v>
      </c>
      <c r="J17" s="11">
        <f>SUM($H$6:H17)</f>
        <v>60000</v>
      </c>
      <c r="K17" s="11">
        <f>OreReserve-SUM($G$6:G17)</f>
        <v>329411.764705882</v>
      </c>
      <c r="M17" s="43" t="inlineStr">
        <is>
          <t>ديسمبر</t>
        </is>
      </c>
      <c r="N17" s="10" t="n">
        <v>26</v>
      </c>
    </row>
    <row r="18">
      <c r="A18" s="52">
        <f>EDATE($N$21,C18-1)</f>
        <v>47027</v>
      </c>
      <c r="B18" s="7">
        <f>INT((C18-1)/12)+1</f>
        <v>2</v>
      </c>
      <c r="C18" s="7" t="n">
        <v>13</v>
      </c>
      <c r="D18" s="11">
        <f>INDEX($N$6:$N$17,MONTH(A18))</f>
        <v>26</v>
      </c>
      <c r="E18" s="17">
        <f>INDEX('الخطة الفنية والإنتاج'!$D$20:$H$20,B18)</f>
        <v>1</v>
      </c>
      <c r="F18" s="11">
        <f>IF($N$18&gt;0,INDEX('الخطة الفنية والإنتاج'!$D$22:$H$22,B18)*D18/$N$18,0)</f>
        <v>29411.7647058824</v>
      </c>
      <c r="G18" s="11">
        <f>IF($N$18&gt;0,INDEX('الخطة الفنية والإنتاج'!$D$23:$H$23,B18)*D18/$N$18,0)</f>
        <v>5882.35294117647</v>
      </c>
      <c r="H18" s="13">
        <f>IF($N$18&gt;0,INDEX('الخطة الفنية والإنتاج'!$D$24:$H$24,B18)*D18/$N$18,0)</f>
        <v>5000</v>
      </c>
      <c r="I18" s="31">
        <f>IF(D18&gt;0,H18/D18,0)</f>
        <v>192.307692307692</v>
      </c>
      <c r="J18" s="11">
        <f>SUM($H$6:H18)</f>
        <v>65000</v>
      </c>
      <c r="K18" s="11">
        <f>OreReserve-SUM($G$6:G18)</f>
        <v>323529.411764706</v>
      </c>
      <c r="M18" s="32" t="inlineStr">
        <is>
          <t>مجموع أيام العمل في السنة</t>
        </is>
      </c>
      <c r="N18" s="12">
        <f>SUM(N6:N17)</f>
        <v>312</v>
      </c>
    </row>
    <row r="19">
      <c r="A19" s="52">
        <f>EDATE($N$21,C19-1)</f>
        <v>47058</v>
      </c>
      <c r="B19" s="7">
        <f>INT((C19-1)/12)+1</f>
        <v>2</v>
      </c>
      <c r="C19" s="7" t="n">
        <v>14</v>
      </c>
      <c r="D19" s="11">
        <f>INDEX($N$6:$N$17,MONTH(A19))</f>
        <v>26</v>
      </c>
      <c r="E19" s="17">
        <f>INDEX('الخطة الفنية والإنتاج'!$D$20:$H$20,B19)</f>
        <v>1</v>
      </c>
      <c r="F19" s="11">
        <f>IF($N$18&gt;0,INDEX('الخطة الفنية والإنتاج'!$D$22:$H$22,B19)*D19/$N$18,0)</f>
        <v>29411.7647058824</v>
      </c>
      <c r="G19" s="11">
        <f>IF($N$18&gt;0,INDEX('الخطة الفنية والإنتاج'!$D$23:$H$23,B19)*D19/$N$18,0)</f>
        <v>5882.35294117647</v>
      </c>
      <c r="H19" s="13">
        <f>IF($N$18&gt;0,INDEX('الخطة الفنية والإنتاج'!$D$24:$H$24,B19)*D19/$N$18,0)</f>
        <v>5000</v>
      </c>
      <c r="I19" s="31">
        <f>IF(D19&gt;0,H19/D19,0)</f>
        <v>192.307692307692</v>
      </c>
      <c r="J19" s="11">
        <f>SUM($H$6:H19)</f>
        <v>70000</v>
      </c>
      <c r="K19" s="11">
        <f>OreReserve-SUM($G$6:G19)</f>
        <v>317647.058823529</v>
      </c>
      <c r="M19" s="43" t="inlineStr">
        <is>
          <t>أيام العمل في ورقة «الافتراضات»</t>
        </is>
      </c>
      <c r="N19" s="11">
        <f>WorkDays</f>
        <v>312</v>
      </c>
    </row>
    <row r="20">
      <c r="A20" s="52">
        <f>EDATE($N$21,C20-1)</f>
        <v>47088</v>
      </c>
      <c r="B20" s="7">
        <f>INT((C20-1)/12)+1</f>
        <v>2</v>
      </c>
      <c r="C20" s="7" t="n">
        <v>15</v>
      </c>
      <c r="D20" s="11">
        <f>INDEX($N$6:$N$17,MONTH(A20))</f>
        <v>26</v>
      </c>
      <c r="E20" s="17">
        <f>INDEX('الخطة الفنية والإنتاج'!$D$20:$H$20,B20)</f>
        <v>1</v>
      </c>
      <c r="F20" s="11">
        <f>IF($N$18&gt;0,INDEX('الخطة الفنية والإنتاج'!$D$22:$H$22,B20)*D20/$N$18,0)</f>
        <v>29411.7647058824</v>
      </c>
      <c r="G20" s="11">
        <f>IF($N$18&gt;0,INDEX('الخطة الفنية والإنتاج'!$D$23:$H$23,B20)*D20/$N$18,0)</f>
        <v>5882.35294117647</v>
      </c>
      <c r="H20" s="13">
        <f>IF($N$18&gt;0,INDEX('الخطة الفنية والإنتاج'!$D$24:$H$24,B20)*D20/$N$18,0)</f>
        <v>5000</v>
      </c>
      <c r="I20" s="31">
        <f>IF(D20&gt;0,H20/D20,0)</f>
        <v>192.307692307692</v>
      </c>
      <c r="J20" s="11">
        <f>SUM($H$6:H20)</f>
        <v>75000</v>
      </c>
      <c r="K20" s="11">
        <f>OreReserve-SUM($G$6:G20)</f>
        <v>311764.705882353</v>
      </c>
      <c r="M20" s="43" t="inlineStr">
        <is>
          <t>التحقق</t>
        </is>
      </c>
      <c r="N20" s="22" t="str">
        <f>IF(N18=N19,"مطابق","المجموع يختلف عن «الافتراضات» — الإنتاج السنوي محسوب على أيام الافتراضات")</f>
        <v>مطابق</v>
      </c>
    </row>
    <row r="21">
      <c r="A21" s="52">
        <f>EDATE($N$21,C21-1)</f>
        <v>47119</v>
      </c>
      <c r="B21" s="7">
        <f>INT((C21-1)/12)+1</f>
        <v>2</v>
      </c>
      <c r="C21" s="7" t="n">
        <v>16</v>
      </c>
      <c r="D21" s="11">
        <f>INDEX($N$6:$N$17,MONTH(A21))</f>
        <v>26</v>
      </c>
      <c r="E21" s="17">
        <f>INDEX('الخطة الفنية والإنتاج'!$D$20:$H$20,B21)</f>
        <v>1</v>
      </c>
      <c r="F21" s="11">
        <f>IF($N$18&gt;0,INDEX('الخطة الفنية والإنتاج'!$D$22:$H$22,B21)*D21/$N$18,0)</f>
        <v>29411.7647058824</v>
      </c>
      <c r="G21" s="11">
        <f>IF($N$18&gt;0,INDEX('الخطة الفنية والإنتاج'!$D$23:$H$23,B21)*D21/$N$18,0)</f>
        <v>5882.35294117647</v>
      </c>
      <c r="H21" s="13">
        <f>IF($N$18&gt;0,INDEX('الخطة الفنية والإنتاج'!$D$24:$H$24,B21)*D21/$N$18,0)</f>
        <v>5000</v>
      </c>
      <c r="I21" s="31">
        <f>IF(D21&gt;0,H21/D21,0)</f>
        <v>192.307692307692</v>
      </c>
      <c r="J21" s="11">
        <f>SUM($H$6:H21)</f>
        <v>80000</v>
      </c>
      <c r="K21" s="11">
        <f>OreReserve-SUM($G$6:G21)</f>
        <v>305882.352941177</v>
      </c>
      <c r="M21" s="43" t="inlineStr">
        <is>
          <t>شهر بدء الإنتاج (من «الجدول الزمني»)</t>
        </is>
      </c>
      <c r="N21" s="41">
        <f>EDATE(StartDate,'الجدول الزمني'!$C$28-1)</f>
        <v>46661</v>
      </c>
    </row>
    <row r="22">
      <c r="A22" s="52">
        <f>EDATE($N$21,C22-1)</f>
        <v>47150</v>
      </c>
      <c r="B22" s="7">
        <f>INT((C22-1)/12)+1</f>
        <v>2</v>
      </c>
      <c r="C22" s="7" t="n">
        <v>17</v>
      </c>
      <c r="D22" s="11">
        <f>INDEX($N$6:$N$17,MONTH(A22))</f>
        <v>26</v>
      </c>
      <c r="E22" s="17">
        <f>INDEX('الخطة الفنية والإنتاج'!$D$20:$H$20,B22)</f>
        <v>1</v>
      </c>
      <c r="F22" s="11">
        <f>IF($N$18&gt;0,INDEX('الخطة الفنية والإنتاج'!$D$22:$H$22,B22)*D22/$N$18,0)</f>
        <v>29411.7647058824</v>
      </c>
      <c r="G22" s="11">
        <f>IF($N$18&gt;0,INDEX('الخطة الفنية والإنتاج'!$D$23:$H$23,B22)*D22/$N$18,0)</f>
        <v>5882.35294117647</v>
      </c>
      <c r="H22" s="13">
        <f>IF($N$18&gt;0,INDEX('الخطة الفنية والإنتاج'!$D$24:$H$24,B22)*D22/$N$18,0)</f>
        <v>5000</v>
      </c>
      <c r="I22" s="31">
        <f>IF(D22&gt;0,H22/D22,0)</f>
        <v>192.307692307692</v>
      </c>
      <c r="J22" s="11">
        <f>SUM($H$6:H22)</f>
        <v>85000</v>
      </c>
      <c r="K22" s="11">
        <f>OreReserve-SUM($G$6:G22)</f>
        <v>300000</v>
      </c>
      <c r="M22" s="5" t="inlineStr">
        <is>
          <t>عدّل أيام كل شهر لمراعاة رمضان والأعياد وحر الصيف؛ يُعاد توزيع الإنتاج السنوي فقط دون تغيير مجموعه.</t>
        </is>
      </c>
    </row>
    <row r="23">
      <c r="A23" s="52">
        <f>EDATE($N$21,C23-1)</f>
        <v>47178</v>
      </c>
      <c r="B23" s="7">
        <f>INT((C23-1)/12)+1</f>
        <v>2</v>
      </c>
      <c r="C23" s="7" t="n">
        <v>18</v>
      </c>
      <c r="D23" s="11">
        <f>INDEX($N$6:$N$17,MONTH(A23))</f>
        <v>26</v>
      </c>
      <c r="E23" s="17">
        <f>INDEX('الخطة الفنية والإنتاج'!$D$20:$H$20,B23)</f>
        <v>1</v>
      </c>
      <c r="F23" s="11">
        <f>IF($N$18&gt;0,INDEX('الخطة الفنية والإنتاج'!$D$22:$H$22,B23)*D23/$N$18,0)</f>
        <v>29411.7647058824</v>
      </c>
      <c r="G23" s="11">
        <f>IF($N$18&gt;0,INDEX('الخطة الفنية والإنتاج'!$D$23:$H$23,B23)*D23/$N$18,0)</f>
        <v>5882.35294117647</v>
      </c>
      <c r="H23" s="13">
        <f>IF($N$18&gt;0,INDEX('الخطة الفنية والإنتاج'!$D$24:$H$24,B23)*D23/$N$18,0)</f>
        <v>5000</v>
      </c>
      <c r="I23" s="31">
        <f>IF(D23&gt;0,H23/D23,0)</f>
        <v>192.307692307692</v>
      </c>
      <c r="J23" s="11">
        <f>SUM($H$6:H23)</f>
        <v>90000</v>
      </c>
      <c r="K23" s="11">
        <f>OreReserve-SUM($G$6:G23)</f>
        <v>294117.647058824</v>
      </c>
    </row>
    <row r="24">
      <c r="A24" s="52">
        <f>EDATE($N$21,C24-1)</f>
        <v>47209</v>
      </c>
      <c r="B24" s="7">
        <f>INT((C24-1)/12)+1</f>
        <v>2</v>
      </c>
      <c r="C24" s="7" t="n">
        <v>19</v>
      </c>
      <c r="D24" s="11">
        <f>INDEX($N$6:$N$17,MONTH(A24))</f>
        <v>26</v>
      </c>
      <c r="E24" s="17">
        <f>INDEX('الخطة الفنية والإنتاج'!$D$20:$H$20,B24)</f>
        <v>1</v>
      </c>
      <c r="F24" s="11">
        <f>IF($N$18&gt;0,INDEX('الخطة الفنية والإنتاج'!$D$22:$H$22,B24)*D24/$N$18,0)</f>
        <v>29411.7647058824</v>
      </c>
      <c r="G24" s="11">
        <f>IF($N$18&gt;0,INDEX('الخطة الفنية والإنتاج'!$D$23:$H$23,B24)*D24/$N$18,0)</f>
        <v>5882.35294117647</v>
      </c>
      <c r="H24" s="13">
        <f>IF($N$18&gt;0,INDEX('الخطة الفنية والإنتاج'!$D$24:$H$24,B24)*D24/$N$18,0)</f>
        <v>5000</v>
      </c>
      <c r="I24" s="31">
        <f>IF(D24&gt;0,H24/D24,0)</f>
        <v>192.307692307692</v>
      </c>
      <c r="J24" s="11">
        <f>SUM($H$6:H24)</f>
        <v>95000</v>
      </c>
      <c r="K24" s="11">
        <f>OreReserve-SUM($G$6:G24)</f>
        <v>288235.294117647</v>
      </c>
      <c r="M24" s="15" t="inlineStr">
        <is>
          <t>ثالثاً: مطابقة الخام القابل للبيع مع الورقة السنوية</t>
        </is>
      </c>
      <c r="N24" s="15" t="n"/>
      <c r="O24" s="15" t="n"/>
      <c r="P24" s="15" t="n"/>
    </row>
    <row r="25">
      <c r="A25" s="52">
        <f>EDATE($N$21,C25-1)</f>
        <v>47239</v>
      </c>
      <c r="B25" s="7">
        <f>INT((C25-1)/12)+1</f>
        <v>2</v>
      </c>
      <c r="C25" s="7" t="n">
        <v>20</v>
      </c>
      <c r="D25" s="11">
        <f>INDEX($N$6:$N$17,MONTH(A25))</f>
        <v>26</v>
      </c>
      <c r="E25" s="17">
        <f>INDEX('الخطة الفنية والإنتاج'!$D$20:$H$20,B25)</f>
        <v>1</v>
      </c>
      <c r="F25" s="11">
        <f>IF($N$18&gt;0,INDEX('الخطة الفنية والإنتاج'!$D$22:$H$22,B25)*D25/$N$18,0)</f>
        <v>29411.7647058824</v>
      </c>
      <c r="G25" s="11">
        <f>IF($N$18&gt;0,INDEX('الخطة الفنية والإنتاج'!$D$23:$H$23,B25)*D25/$N$18,0)</f>
        <v>5882.35294117647</v>
      </c>
      <c r="H25" s="13">
        <f>IF($N$18&gt;0,INDEX('الخطة الفنية والإنتاج'!$D$24:$H$24,B25)*D25/$N$18,0)</f>
        <v>5000</v>
      </c>
      <c r="I25" s="31">
        <f>IF(D25&gt;0,H25/D25,0)</f>
        <v>192.307692307692</v>
      </c>
      <c r="J25" s="11">
        <f>SUM($H$6:H25)</f>
        <v>100000</v>
      </c>
      <c r="K25" s="11">
        <f>OreReserve-SUM($G$6:G25)</f>
        <v>282352.941176471</v>
      </c>
      <c r="M25" s="6" t="inlineStr">
        <is>
          <t>سنة التشغيل</t>
        </is>
      </c>
      <c r="N25" s="6" t="inlineStr">
        <is>
          <t>مجموع الأشهر (طن)</t>
        </is>
      </c>
      <c r="O25" s="6" t="inlineStr">
        <is>
          <t>الورقة السنوية (طن)</t>
        </is>
      </c>
      <c r="P25" s="6" t="inlineStr">
        <is>
          <t>الفرق (طن)</t>
        </is>
      </c>
    </row>
    <row r="26">
      <c r="A26" s="52">
        <f>EDATE($N$21,C26-1)</f>
        <v>47270</v>
      </c>
      <c r="B26" s="7">
        <f>INT((C26-1)/12)+1</f>
        <v>2</v>
      </c>
      <c r="C26" s="7" t="n">
        <v>21</v>
      </c>
      <c r="D26" s="11">
        <f>INDEX($N$6:$N$17,MONTH(A26))</f>
        <v>26</v>
      </c>
      <c r="E26" s="17">
        <f>INDEX('الخطة الفنية والإنتاج'!$D$20:$H$20,B26)</f>
        <v>1</v>
      </c>
      <c r="F26" s="11">
        <f>IF($N$18&gt;0,INDEX('الخطة الفنية والإنتاج'!$D$22:$H$22,B26)*D26/$N$18,0)</f>
        <v>29411.7647058824</v>
      </c>
      <c r="G26" s="11">
        <f>IF($N$18&gt;0,INDEX('الخطة الفنية والإنتاج'!$D$23:$H$23,B26)*D26/$N$18,0)</f>
        <v>5882.35294117647</v>
      </c>
      <c r="H26" s="13">
        <f>IF($N$18&gt;0,INDEX('الخطة الفنية والإنتاج'!$D$24:$H$24,B26)*D26/$N$18,0)</f>
        <v>5000</v>
      </c>
      <c r="I26" s="31">
        <f>IF(D26&gt;0,H26/D26,0)</f>
        <v>192.307692307692</v>
      </c>
      <c r="J26" s="11">
        <f>SUM($H$6:H26)</f>
        <v>105000</v>
      </c>
      <c r="K26" s="11">
        <f>OreReserve-SUM($G$6:G26)</f>
        <v>276470.588235294</v>
      </c>
      <c r="M26" s="7" t="n">
        <v>1</v>
      </c>
      <c r="N26" s="11">
        <f>SUMIF($B$6:$B$65,M26,$H$6:$H$65)</f>
        <v>60000</v>
      </c>
      <c r="O26" s="11">
        <f>INDEX('الخطة الفنية والإنتاج'!$D$24:$H$24,M26)</f>
        <v>60000</v>
      </c>
      <c r="P26" s="11">
        <f>N26-O26</f>
        <v>0</v>
      </c>
    </row>
    <row r="27">
      <c r="A27" s="52">
        <f>EDATE($N$21,C27-1)</f>
        <v>47300</v>
      </c>
      <c r="B27" s="7">
        <f>INT((C27-1)/12)+1</f>
        <v>2</v>
      </c>
      <c r="C27" s="7" t="n">
        <v>22</v>
      </c>
      <c r="D27" s="11">
        <f>INDEX($N$6:$N$17,MONTH(A27))</f>
        <v>26</v>
      </c>
      <c r="E27" s="17">
        <f>INDEX('الخطة الفنية والإنتاج'!$D$20:$H$20,B27)</f>
        <v>1</v>
      </c>
      <c r="F27" s="11">
        <f>IF($N$18&gt;0,INDEX('الخطة الفنية والإنتاج'!$D$22:$H$22,B27)*D27/$N$18,0)</f>
        <v>29411.7647058824</v>
      </c>
      <c r="G27" s="11">
        <f>IF($N$18&gt;0,INDEX('الخطة الفنية والإنتاج'!$D$23:$H$23,B27)*D27/$N$18,0)</f>
        <v>5882.35294117647</v>
      </c>
      <c r="H27" s="13">
        <f>IF($N$18&gt;0,INDEX('الخطة الفنية والإنتاج'!$D$24:$H$24,B27)*D27/$N$18,0)</f>
        <v>5000</v>
      </c>
      <c r="I27" s="31">
        <f>IF(D27&gt;0,H27/D27,0)</f>
        <v>192.307692307692</v>
      </c>
      <c r="J27" s="11">
        <f>SUM($H$6:H27)</f>
        <v>110000</v>
      </c>
      <c r="K27" s="11">
        <f>OreReserve-SUM($G$6:G27)</f>
        <v>270588.235294118</v>
      </c>
      <c r="M27" s="7" t="n">
        <v>2</v>
      </c>
      <c r="N27" s="11">
        <f>SUMIF($B$6:$B$65,M27,$H$6:$H$65)</f>
        <v>60000</v>
      </c>
      <c r="O27" s="11">
        <f>INDEX('الخطة الفنية والإنتاج'!$D$24:$H$24,M27)</f>
        <v>60000</v>
      </c>
      <c r="P27" s="11">
        <f>N27-O27</f>
        <v>0</v>
      </c>
    </row>
    <row r="28">
      <c r="A28" s="52">
        <f>EDATE($N$21,C28-1)</f>
        <v>47331</v>
      </c>
      <c r="B28" s="7">
        <f>INT((C28-1)/12)+1</f>
        <v>2</v>
      </c>
      <c r="C28" s="7" t="n">
        <v>23</v>
      </c>
      <c r="D28" s="11">
        <f>INDEX($N$6:$N$17,MONTH(A28))</f>
        <v>26</v>
      </c>
      <c r="E28" s="17">
        <f>INDEX('الخطة الفنية والإنتاج'!$D$20:$H$20,B28)</f>
        <v>1</v>
      </c>
      <c r="F28" s="11">
        <f>IF($N$18&gt;0,INDEX('الخطة الفنية والإنتاج'!$D$22:$H$22,B28)*D28/$N$18,0)</f>
        <v>29411.7647058824</v>
      </c>
      <c r="G28" s="11">
        <f>IF($N$18&gt;0,INDEX('الخطة الفنية والإنتاج'!$D$23:$H$23,B28)*D28/$N$18,0)</f>
        <v>5882.35294117647</v>
      </c>
      <c r="H28" s="13">
        <f>IF($N$18&gt;0,INDEX('الخطة الفنية والإنتاج'!$D$24:$H$24,B28)*D28/$N$18,0)</f>
        <v>5000</v>
      </c>
      <c r="I28" s="31">
        <f>IF(D28&gt;0,H28/D28,0)</f>
        <v>192.307692307692</v>
      </c>
      <c r="J28" s="11">
        <f>SUM($H$6:H28)</f>
        <v>115000</v>
      </c>
      <c r="K28" s="11">
        <f>OreReserve-SUM($G$6:G28)</f>
        <v>264705.882352941</v>
      </c>
      <c r="M28" s="7" t="n">
        <v>3</v>
      </c>
      <c r="N28" s="11">
        <f>SUMIF($B$6:$B$65,M28,$H$6:$H$65)</f>
        <v>60000</v>
      </c>
      <c r="O28" s="11">
        <f>INDEX('الخطة الفنية والإنتاج'!$D$24:$H$24,M28)</f>
        <v>60000</v>
      </c>
      <c r="P28" s="11">
        <f>N28-O28</f>
        <v>0</v>
      </c>
    </row>
    <row r="29">
      <c r="A29" s="52">
        <f>EDATE($N$21,C29-1)</f>
        <v>47362</v>
      </c>
      <c r="B29" s="7">
        <f>INT((C29-1)/12)+1</f>
        <v>2</v>
      </c>
      <c r="C29" s="7" t="n">
        <v>24</v>
      </c>
      <c r="D29" s="11">
        <f>INDEX($N$6:$N$17,MONTH(A29))</f>
        <v>26</v>
      </c>
      <c r="E29" s="17">
        <f>INDEX('الخطة الفنية والإنتاج'!$D$20:$H$20,B29)</f>
        <v>1</v>
      </c>
      <c r="F29" s="11">
        <f>IF($N$18&gt;0,INDEX('الخطة الفنية والإنتاج'!$D$22:$H$22,B29)*D29/$N$18,0)</f>
        <v>29411.7647058824</v>
      </c>
      <c r="G29" s="11">
        <f>IF($N$18&gt;0,INDEX('الخطة الفنية والإنتاج'!$D$23:$H$23,B29)*D29/$N$18,0)</f>
        <v>5882.35294117647</v>
      </c>
      <c r="H29" s="13">
        <f>IF($N$18&gt;0,INDEX('الخطة الفنية والإنتاج'!$D$24:$H$24,B29)*D29/$N$18,0)</f>
        <v>5000</v>
      </c>
      <c r="I29" s="31">
        <f>IF(D29&gt;0,H29/D29,0)</f>
        <v>192.307692307692</v>
      </c>
      <c r="J29" s="11">
        <f>SUM($H$6:H29)</f>
        <v>120000</v>
      </c>
      <c r="K29" s="11">
        <f>OreReserve-SUM($G$6:G29)</f>
        <v>258823.529411765</v>
      </c>
      <c r="M29" s="7" t="n">
        <v>4</v>
      </c>
      <c r="N29" s="11">
        <f>SUMIF($B$6:$B$65,M29,$H$6:$H$65)</f>
        <v>60000</v>
      </c>
      <c r="O29" s="11">
        <f>INDEX('الخطة الفنية والإنتاج'!$D$24:$H$24,M29)</f>
        <v>60000</v>
      </c>
      <c r="P29" s="11">
        <f>N29-O29</f>
        <v>0</v>
      </c>
    </row>
    <row r="30">
      <c r="A30" s="52">
        <f>EDATE($N$21,C30-1)</f>
        <v>47392</v>
      </c>
      <c r="B30" s="7">
        <f>INT((C30-1)/12)+1</f>
        <v>3</v>
      </c>
      <c r="C30" s="7" t="n">
        <v>25</v>
      </c>
      <c r="D30" s="11">
        <f>INDEX($N$6:$N$17,MONTH(A30))</f>
        <v>26</v>
      </c>
      <c r="E30" s="17">
        <f>INDEX('الخطة الفنية والإنتاج'!$D$20:$H$20,B30)</f>
        <v>1</v>
      </c>
      <c r="F30" s="11">
        <f>IF($N$18&gt;0,INDEX('الخطة الفنية والإنتاج'!$D$22:$H$22,B30)*D30/$N$18,0)</f>
        <v>29411.7647058824</v>
      </c>
      <c r="G30" s="11">
        <f>IF($N$18&gt;0,INDEX('الخطة الفنية والإنتاج'!$D$23:$H$23,B30)*D30/$N$18,0)</f>
        <v>5882.35294117647</v>
      </c>
      <c r="H30" s="13">
        <f>IF($N$18&gt;0,INDEX('الخطة الفنية والإنتاج'!$D$24:$H$24,B30)*D30/$N$18,0)</f>
        <v>5000</v>
      </c>
      <c r="I30" s="31">
        <f>IF(D30&gt;0,H30/D30,0)</f>
        <v>192.307692307692</v>
      </c>
      <c r="J30" s="11">
        <f>SUM($H$6:H30)</f>
        <v>125000</v>
      </c>
      <c r="K30" s="11">
        <f>OreReserve-SUM($G$6:G30)</f>
        <v>252941.176470588</v>
      </c>
      <c r="M30" s="7" t="n">
        <v>5</v>
      </c>
      <c r="N30" s="11">
        <f>SUMIF($B$6:$B$65,M30,$H$6:$H$65)</f>
        <v>60000</v>
      </c>
      <c r="O30" s="11">
        <f>INDEX('الخطة الفنية والإنتاج'!$D$24:$H$24,M30)</f>
        <v>60000</v>
      </c>
      <c r="P30" s="11">
        <f>N30-O30</f>
        <v>0</v>
      </c>
    </row>
    <row r="31">
      <c r="A31" s="52">
        <f>EDATE($N$21,C31-1)</f>
        <v>47423</v>
      </c>
      <c r="B31" s="7">
        <f>INT((C31-1)/12)+1</f>
        <v>3</v>
      </c>
      <c r="C31" s="7" t="n">
        <v>26</v>
      </c>
      <c r="D31" s="11">
        <f>INDEX($N$6:$N$17,MONTH(A31))</f>
        <v>26</v>
      </c>
      <c r="E31" s="17">
        <f>INDEX('الخطة الفنية والإنتاج'!$D$20:$H$20,B31)</f>
        <v>1</v>
      </c>
      <c r="F31" s="11">
        <f>IF($N$18&gt;0,INDEX('الخطة الفنية والإنتاج'!$D$22:$H$22,B31)*D31/$N$18,0)</f>
        <v>29411.7647058824</v>
      </c>
      <c r="G31" s="11">
        <f>IF($N$18&gt;0,INDEX('الخطة الفنية والإنتاج'!$D$23:$H$23,B31)*D31/$N$18,0)</f>
        <v>5882.35294117647</v>
      </c>
      <c r="H31" s="13">
        <f>IF($N$18&gt;0,INDEX('الخطة الفنية والإنتاج'!$D$24:$H$24,B31)*D31/$N$18,0)</f>
        <v>5000</v>
      </c>
      <c r="I31" s="31">
        <f>IF(D31&gt;0,H31/D31,0)</f>
        <v>192.307692307692</v>
      </c>
      <c r="J31" s="11">
        <f>SUM($H$6:H31)</f>
        <v>130000</v>
      </c>
      <c r="K31" s="11">
        <f>OreReserve-SUM($G$6:G31)</f>
        <v>247058.823529412</v>
      </c>
      <c r="M31" s="32" t="inlineStr">
        <is>
          <t>الإجمالي</t>
        </is>
      </c>
      <c r="N31" s="12">
        <f>SUM(N26:N30)</f>
        <v>300000</v>
      </c>
      <c r="O31" s="12">
        <f>SUM(O26:O30)</f>
        <v>300000</v>
      </c>
      <c r="P31" s="12">
        <f>SUM(P26:P30)</f>
        <v>0</v>
      </c>
    </row>
    <row r="32">
      <c r="A32" s="52">
        <f>EDATE($N$21,C32-1)</f>
        <v>47453</v>
      </c>
      <c r="B32" s="7">
        <f>INT((C32-1)/12)+1</f>
        <v>3</v>
      </c>
      <c r="C32" s="7" t="n">
        <v>27</v>
      </c>
      <c r="D32" s="11">
        <f>INDEX($N$6:$N$17,MONTH(A32))</f>
        <v>26</v>
      </c>
      <c r="E32" s="17">
        <f>INDEX('الخطة الفنية والإنتاج'!$D$20:$H$20,B32)</f>
        <v>1</v>
      </c>
      <c r="F32" s="11">
        <f>IF($N$18&gt;0,INDEX('الخطة الفنية والإنتاج'!$D$22:$H$22,B32)*D32/$N$18,0)</f>
        <v>29411.7647058824</v>
      </c>
      <c r="G32" s="11">
        <f>IF($N$18&gt;0,INDEX('الخطة الفنية والإنتاج'!$D$23:$H$23,B32)*D32/$N$18,0)</f>
        <v>5882.35294117647</v>
      </c>
      <c r="H32" s="13">
        <f>IF($N$18&gt;0,INDEX('الخطة الفنية والإنتاج'!$D$24:$H$24,B32)*D32/$N$18,0)</f>
        <v>5000</v>
      </c>
      <c r="I32" s="31">
        <f>IF(D32&gt;0,H32/D32,0)</f>
        <v>192.307692307692</v>
      </c>
      <c r="J32" s="11">
        <f>SUM($H$6:H32)</f>
        <v>135000</v>
      </c>
      <c r="K32" s="11">
        <f>OreReserve-SUM($G$6:G32)</f>
        <v>241176.470588235</v>
      </c>
      <c r="M32" s="32" t="inlineStr">
        <is>
          <t>النتيجة</t>
        </is>
      </c>
      <c r="N32" s="22" t="str">
        <f>IF(SUMPRODUCT(ABS(P26:P30))&lt;0.5,"مطابق","يوجد فرق — راجع التوزيع")</f>
        <v>مطابق</v>
      </c>
    </row>
    <row r="33">
      <c r="A33" s="52">
        <f>EDATE($N$21,C33-1)</f>
        <v>47484</v>
      </c>
      <c r="B33" s="7">
        <f>INT((C33-1)/12)+1</f>
        <v>3</v>
      </c>
      <c r="C33" s="7" t="n">
        <v>28</v>
      </c>
      <c r="D33" s="11">
        <f>INDEX($N$6:$N$17,MONTH(A33))</f>
        <v>26</v>
      </c>
      <c r="E33" s="17">
        <f>INDEX('الخطة الفنية والإنتاج'!$D$20:$H$20,B33)</f>
        <v>1</v>
      </c>
      <c r="F33" s="11">
        <f>IF($N$18&gt;0,INDEX('الخطة الفنية والإنتاج'!$D$22:$H$22,B33)*D33/$N$18,0)</f>
        <v>29411.7647058824</v>
      </c>
      <c r="G33" s="11">
        <f>IF($N$18&gt;0,INDEX('الخطة الفنية والإنتاج'!$D$23:$H$23,B33)*D33/$N$18,0)</f>
        <v>5882.35294117647</v>
      </c>
      <c r="H33" s="13">
        <f>IF($N$18&gt;0,INDEX('الخطة الفنية والإنتاج'!$D$24:$H$24,B33)*D33/$N$18,0)</f>
        <v>5000</v>
      </c>
      <c r="I33" s="31">
        <f>IF(D33&gt;0,H33/D33,0)</f>
        <v>192.307692307692</v>
      </c>
      <c r="J33" s="11">
        <f>SUM($H$6:H33)</f>
        <v>140000</v>
      </c>
      <c r="K33" s="11">
        <f>OreReserve-SUM($G$6:G33)</f>
        <v>235294.117647059</v>
      </c>
    </row>
    <row r="34">
      <c r="A34" s="52">
        <f>EDATE($N$21,C34-1)</f>
        <v>47515</v>
      </c>
      <c r="B34" s="7">
        <f>INT((C34-1)/12)+1</f>
        <v>3</v>
      </c>
      <c r="C34" s="7" t="n">
        <v>29</v>
      </c>
      <c r="D34" s="11">
        <f>INDEX($N$6:$N$17,MONTH(A34))</f>
        <v>26</v>
      </c>
      <c r="E34" s="17">
        <f>INDEX('الخطة الفنية والإنتاج'!$D$20:$H$20,B34)</f>
        <v>1</v>
      </c>
      <c r="F34" s="11">
        <f>IF($N$18&gt;0,INDEX('الخطة الفنية والإنتاج'!$D$22:$H$22,B34)*D34/$N$18,0)</f>
        <v>29411.7647058824</v>
      </c>
      <c r="G34" s="11">
        <f>IF($N$18&gt;0,INDEX('الخطة الفنية والإنتاج'!$D$23:$H$23,B34)*D34/$N$18,0)</f>
        <v>5882.35294117647</v>
      </c>
      <c r="H34" s="13">
        <f>IF($N$18&gt;0,INDEX('الخطة الفنية والإنتاج'!$D$24:$H$24,B34)*D34/$N$18,0)</f>
        <v>5000</v>
      </c>
      <c r="I34" s="31">
        <f>IF(D34&gt;0,H34/D34,0)</f>
        <v>192.307692307692</v>
      </c>
      <c r="J34" s="11">
        <f>SUM($H$6:H34)</f>
        <v>145000</v>
      </c>
      <c r="K34" s="11">
        <f>OreReserve-SUM($G$6:G34)</f>
        <v>229411.764705882</v>
      </c>
    </row>
    <row r="35">
      <c r="A35" s="52">
        <f>EDATE($N$21,C35-1)</f>
        <v>47543</v>
      </c>
      <c r="B35" s="7">
        <f>INT((C35-1)/12)+1</f>
        <v>3</v>
      </c>
      <c r="C35" s="7" t="n">
        <v>30</v>
      </c>
      <c r="D35" s="11">
        <f>INDEX($N$6:$N$17,MONTH(A35))</f>
        <v>26</v>
      </c>
      <c r="E35" s="17">
        <f>INDEX('الخطة الفنية والإنتاج'!$D$20:$H$20,B35)</f>
        <v>1</v>
      </c>
      <c r="F35" s="11">
        <f>IF($N$18&gt;0,INDEX('الخطة الفنية والإنتاج'!$D$22:$H$22,B35)*D35/$N$18,0)</f>
        <v>29411.7647058824</v>
      </c>
      <c r="G35" s="11">
        <f>IF($N$18&gt;0,INDEX('الخطة الفنية والإنتاج'!$D$23:$H$23,B35)*D35/$N$18,0)</f>
        <v>5882.35294117647</v>
      </c>
      <c r="H35" s="13">
        <f>IF($N$18&gt;0,INDEX('الخطة الفنية والإنتاج'!$D$24:$H$24,B35)*D35/$N$18,0)</f>
        <v>5000</v>
      </c>
      <c r="I35" s="31">
        <f>IF(D35&gt;0,H35/D35,0)</f>
        <v>192.307692307692</v>
      </c>
      <c r="J35" s="11">
        <f>SUM($H$6:H35)</f>
        <v>150000</v>
      </c>
      <c r="K35" s="11">
        <f>OreReserve-SUM($G$6:G35)</f>
        <v>223529.411764706</v>
      </c>
    </row>
    <row r="36">
      <c r="A36" s="52">
        <f>EDATE($N$21,C36-1)</f>
        <v>47574</v>
      </c>
      <c r="B36" s="7">
        <f>INT((C36-1)/12)+1</f>
        <v>3</v>
      </c>
      <c r="C36" s="7" t="n">
        <v>31</v>
      </c>
      <c r="D36" s="11">
        <f>INDEX($N$6:$N$17,MONTH(A36))</f>
        <v>26</v>
      </c>
      <c r="E36" s="17">
        <f>INDEX('الخطة الفنية والإنتاج'!$D$20:$H$20,B36)</f>
        <v>1</v>
      </c>
      <c r="F36" s="11">
        <f>IF($N$18&gt;0,INDEX('الخطة الفنية والإنتاج'!$D$22:$H$22,B36)*D36/$N$18,0)</f>
        <v>29411.7647058824</v>
      </c>
      <c r="G36" s="11">
        <f>IF($N$18&gt;0,INDEX('الخطة الفنية والإنتاج'!$D$23:$H$23,B36)*D36/$N$18,0)</f>
        <v>5882.35294117647</v>
      </c>
      <c r="H36" s="13">
        <f>IF($N$18&gt;0,INDEX('الخطة الفنية والإنتاج'!$D$24:$H$24,B36)*D36/$N$18,0)</f>
        <v>5000</v>
      </c>
      <c r="I36" s="31">
        <f>IF(D36&gt;0,H36/D36,0)</f>
        <v>192.307692307692</v>
      </c>
      <c r="J36" s="11">
        <f>SUM($H$6:H36)</f>
        <v>155000</v>
      </c>
      <c r="K36" s="11">
        <f>OreReserve-SUM($G$6:G36)</f>
        <v>217647.058823529</v>
      </c>
    </row>
    <row r="37">
      <c r="A37" s="52">
        <f>EDATE($N$21,C37-1)</f>
        <v>47604</v>
      </c>
      <c r="B37" s="7">
        <f>INT((C37-1)/12)+1</f>
        <v>3</v>
      </c>
      <c r="C37" s="7" t="n">
        <v>32</v>
      </c>
      <c r="D37" s="11">
        <f>INDEX($N$6:$N$17,MONTH(A37))</f>
        <v>26</v>
      </c>
      <c r="E37" s="17">
        <f>INDEX('الخطة الفنية والإنتاج'!$D$20:$H$20,B37)</f>
        <v>1</v>
      </c>
      <c r="F37" s="11">
        <f>IF($N$18&gt;0,INDEX('الخطة الفنية والإنتاج'!$D$22:$H$22,B37)*D37/$N$18,0)</f>
        <v>29411.7647058824</v>
      </c>
      <c r="G37" s="11">
        <f>IF($N$18&gt;0,INDEX('الخطة الفنية والإنتاج'!$D$23:$H$23,B37)*D37/$N$18,0)</f>
        <v>5882.35294117647</v>
      </c>
      <c r="H37" s="13">
        <f>IF($N$18&gt;0,INDEX('الخطة الفنية والإنتاج'!$D$24:$H$24,B37)*D37/$N$18,0)</f>
        <v>5000</v>
      </c>
      <c r="I37" s="31">
        <f>IF(D37&gt;0,H37/D37,0)</f>
        <v>192.307692307692</v>
      </c>
      <c r="J37" s="11">
        <f>SUM($H$6:H37)</f>
        <v>160000</v>
      </c>
      <c r="K37" s="11">
        <f>OreReserve-SUM($G$6:G37)</f>
        <v>211764.705882353</v>
      </c>
    </row>
    <row r="38">
      <c r="A38" s="52">
        <f>EDATE($N$21,C38-1)</f>
        <v>47635</v>
      </c>
      <c r="B38" s="7">
        <f>INT((C38-1)/12)+1</f>
        <v>3</v>
      </c>
      <c r="C38" s="7" t="n">
        <v>33</v>
      </c>
      <c r="D38" s="11">
        <f>INDEX($N$6:$N$17,MONTH(A38))</f>
        <v>26</v>
      </c>
      <c r="E38" s="17">
        <f>INDEX('الخطة الفنية والإنتاج'!$D$20:$H$20,B38)</f>
        <v>1</v>
      </c>
      <c r="F38" s="11">
        <f>IF($N$18&gt;0,INDEX('الخطة الفنية والإنتاج'!$D$22:$H$22,B38)*D38/$N$18,0)</f>
        <v>29411.7647058824</v>
      </c>
      <c r="G38" s="11">
        <f>IF($N$18&gt;0,INDEX('الخطة الفنية والإنتاج'!$D$23:$H$23,B38)*D38/$N$18,0)</f>
        <v>5882.35294117647</v>
      </c>
      <c r="H38" s="13">
        <f>IF($N$18&gt;0,INDEX('الخطة الفنية والإنتاج'!$D$24:$H$24,B38)*D38/$N$18,0)</f>
        <v>5000</v>
      </c>
      <c r="I38" s="31">
        <f>IF(D38&gt;0,H38/D38,0)</f>
        <v>192.307692307692</v>
      </c>
      <c r="J38" s="11">
        <f>SUM($H$6:H38)</f>
        <v>165000</v>
      </c>
      <c r="K38" s="11">
        <f>OreReserve-SUM($G$6:G38)</f>
        <v>205882.352941176</v>
      </c>
    </row>
    <row r="39">
      <c r="A39" s="52">
        <f>EDATE($N$21,C39-1)</f>
        <v>47665</v>
      </c>
      <c r="B39" s="7">
        <f>INT((C39-1)/12)+1</f>
        <v>3</v>
      </c>
      <c r="C39" s="7" t="n">
        <v>34</v>
      </c>
      <c r="D39" s="11">
        <f>INDEX($N$6:$N$17,MONTH(A39))</f>
        <v>26</v>
      </c>
      <c r="E39" s="17">
        <f>INDEX('الخطة الفنية والإنتاج'!$D$20:$H$20,B39)</f>
        <v>1</v>
      </c>
      <c r="F39" s="11">
        <f>IF($N$18&gt;0,INDEX('الخطة الفنية والإنتاج'!$D$22:$H$22,B39)*D39/$N$18,0)</f>
        <v>29411.7647058824</v>
      </c>
      <c r="G39" s="11">
        <f>IF($N$18&gt;0,INDEX('الخطة الفنية والإنتاج'!$D$23:$H$23,B39)*D39/$N$18,0)</f>
        <v>5882.35294117647</v>
      </c>
      <c r="H39" s="13">
        <f>IF($N$18&gt;0,INDEX('الخطة الفنية والإنتاج'!$D$24:$H$24,B39)*D39/$N$18,0)</f>
        <v>5000</v>
      </c>
      <c r="I39" s="31">
        <f>IF(D39&gt;0,H39/D39,0)</f>
        <v>192.307692307692</v>
      </c>
      <c r="J39" s="11">
        <f>SUM($H$6:H39)</f>
        <v>170000</v>
      </c>
      <c r="K39" s="11">
        <f>OreReserve-SUM($G$6:G39)</f>
        <v>200000</v>
      </c>
    </row>
    <row r="40">
      <c r="A40" s="52">
        <f>EDATE($N$21,C40-1)</f>
        <v>47696</v>
      </c>
      <c r="B40" s="7">
        <f>INT((C40-1)/12)+1</f>
        <v>3</v>
      </c>
      <c r="C40" s="7" t="n">
        <v>35</v>
      </c>
      <c r="D40" s="11">
        <f>INDEX($N$6:$N$17,MONTH(A40))</f>
        <v>26</v>
      </c>
      <c r="E40" s="17">
        <f>INDEX('الخطة الفنية والإنتاج'!$D$20:$H$20,B40)</f>
        <v>1</v>
      </c>
      <c r="F40" s="11">
        <f>IF($N$18&gt;0,INDEX('الخطة الفنية والإنتاج'!$D$22:$H$22,B40)*D40/$N$18,0)</f>
        <v>29411.7647058824</v>
      </c>
      <c r="G40" s="11">
        <f>IF($N$18&gt;0,INDEX('الخطة الفنية والإنتاج'!$D$23:$H$23,B40)*D40/$N$18,0)</f>
        <v>5882.35294117647</v>
      </c>
      <c r="H40" s="13">
        <f>IF($N$18&gt;0,INDEX('الخطة الفنية والإنتاج'!$D$24:$H$24,B40)*D40/$N$18,0)</f>
        <v>5000</v>
      </c>
      <c r="I40" s="31">
        <f>IF(D40&gt;0,H40/D40,0)</f>
        <v>192.307692307692</v>
      </c>
      <c r="J40" s="11">
        <f>SUM($H$6:H40)</f>
        <v>175000</v>
      </c>
      <c r="K40" s="11">
        <f>OreReserve-SUM($G$6:G40)</f>
        <v>194117.647058824</v>
      </c>
    </row>
    <row r="41">
      <c r="A41" s="52">
        <f>EDATE($N$21,C41-1)</f>
        <v>47727</v>
      </c>
      <c r="B41" s="7">
        <f>INT((C41-1)/12)+1</f>
        <v>3</v>
      </c>
      <c r="C41" s="7" t="n">
        <v>36</v>
      </c>
      <c r="D41" s="11">
        <f>INDEX($N$6:$N$17,MONTH(A41))</f>
        <v>26</v>
      </c>
      <c r="E41" s="17">
        <f>INDEX('الخطة الفنية والإنتاج'!$D$20:$H$20,B41)</f>
        <v>1</v>
      </c>
      <c r="F41" s="11">
        <f>IF($N$18&gt;0,INDEX('الخطة الفنية والإنتاج'!$D$22:$H$22,B41)*D41/$N$18,0)</f>
        <v>29411.7647058824</v>
      </c>
      <c r="G41" s="11">
        <f>IF($N$18&gt;0,INDEX('الخطة الفنية والإنتاج'!$D$23:$H$23,B41)*D41/$N$18,0)</f>
        <v>5882.35294117647</v>
      </c>
      <c r="H41" s="13">
        <f>IF($N$18&gt;0,INDEX('الخطة الفنية والإنتاج'!$D$24:$H$24,B41)*D41/$N$18,0)</f>
        <v>5000</v>
      </c>
      <c r="I41" s="31">
        <f>IF(D41&gt;0,H41/D41,0)</f>
        <v>192.307692307692</v>
      </c>
      <c r="J41" s="11">
        <f>SUM($H$6:H41)</f>
        <v>180000</v>
      </c>
      <c r="K41" s="11">
        <f>OreReserve-SUM($G$6:G41)</f>
        <v>188235.294117647</v>
      </c>
    </row>
    <row r="42">
      <c r="A42" s="52">
        <f>EDATE($N$21,C42-1)</f>
        <v>47757</v>
      </c>
      <c r="B42" s="7">
        <f>INT((C42-1)/12)+1</f>
        <v>4</v>
      </c>
      <c r="C42" s="7" t="n">
        <v>37</v>
      </c>
      <c r="D42" s="11">
        <f>INDEX($N$6:$N$17,MONTH(A42))</f>
        <v>26</v>
      </c>
      <c r="E42" s="17">
        <f>INDEX('الخطة الفنية والإنتاج'!$D$20:$H$20,B42)</f>
        <v>1</v>
      </c>
      <c r="F42" s="11">
        <f>IF($N$18&gt;0,INDEX('الخطة الفنية والإنتاج'!$D$22:$H$22,B42)*D42/$N$18,0)</f>
        <v>29411.7647058824</v>
      </c>
      <c r="G42" s="11">
        <f>IF($N$18&gt;0,INDEX('الخطة الفنية والإنتاج'!$D$23:$H$23,B42)*D42/$N$18,0)</f>
        <v>5882.35294117647</v>
      </c>
      <c r="H42" s="13">
        <f>IF($N$18&gt;0,INDEX('الخطة الفنية والإنتاج'!$D$24:$H$24,B42)*D42/$N$18,0)</f>
        <v>5000</v>
      </c>
      <c r="I42" s="31">
        <f>IF(D42&gt;0,H42/D42,0)</f>
        <v>192.307692307692</v>
      </c>
      <c r="J42" s="11">
        <f>SUM($H$6:H42)</f>
        <v>185000</v>
      </c>
      <c r="K42" s="11">
        <f>OreReserve-SUM($G$6:G42)</f>
        <v>182352.941176471</v>
      </c>
    </row>
    <row r="43">
      <c r="A43" s="52">
        <f>EDATE($N$21,C43-1)</f>
        <v>47788</v>
      </c>
      <c r="B43" s="7">
        <f>INT((C43-1)/12)+1</f>
        <v>4</v>
      </c>
      <c r="C43" s="7" t="n">
        <v>38</v>
      </c>
      <c r="D43" s="11">
        <f>INDEX($N$6:$N$17,MONTH(A43))</f>
        <v>26</v>
      </c>
      <c r="E43" s="17">
        <f>INDEX('الخطة الفنية والإنتاج'!$D$20:$H$20,B43)</f>
        <v>1</v>
      </c>
      <c r="F43" s="11">
        <f>IF($N$18&gt;0,INDEX('الخطة الفنية والإنتاج'!$D$22:$H$22,B43)*D43/$N$18,0)</f>
        <v>29411.7647058824</v>
      </c>
      <c r="G43" s="11">
        <f>IF($N$18&gt;0,INDEX('الخطة الفنية والإنتاج'!$D$23:$H$23,B43)*D43/$N$18,0)</f>
        <v>5882.35294117647</v>
      </c>
      <c r="H43" s="13">
        <f>IF($N$18&gt;0,INDEX('الخطة الفنية والإنتاج'!$D$24:$H$24,B43)*D43/$N$18,0)</f>
        <v>5000</v>
      </c>
      <c r="I43" s="31">
        <f>IF(D43&gt;0,H43/D43,0)</f>
        <v>192.307692307692</v>
      </c>
      <c r="J43" s="11">
        <f>SUM($H$6:H43)</f>
        <v>190000</v>
      </c>
      <c r="K43" s="11">
        <f>OreReserve-SUM($G$6:G43)</f>
        <v>176470.588235294</v>
      </c>
    </row>
    <row r="44">
      <c r="A44" s="52">
        <f>EDATE($N$21,C44-1)</f>
        <v>47818</v>
      </c>
      <c r="B44" s="7">
        <f>INT((C44-1)/12)+1</f>
        <v>4</v>
      </c>
      <c r="C44" s="7" t="n">
        <v>39</v>
      </c>
      <c r="D44" s="11">
        <f>INDEX($N$6:$N$17,MONTH(A44))</f>
        <v>26</v>
      </c>
      <c r="E44" s="17">
        <f>INDEX('الخطة الفنية والإنتاج'!$D$20:$H$20,B44)</f>
        <v>1</v>
      </c>
      <c r="F44" s="11">
        <f>IF($N$18&gt;0,INDEX('الخطة الفنية والإنتاج'!$D$22:$H$22,B44)*D44/$N$18,0)</f>
        <v>29411.7647058824</v>
      </c>
      <c r="G44" s="11">
        <f>IF($N$18&gt;0,INDEX('الخطة الفنية والإنتاج'!$D$23:$H$23,B44)*D44/$N$18,0)</f>
        <v>5882.35294117647</v>
      </c>
      <c r="H44" s="13">
        <f>IF($N$18&gt;0,INDEX('الخطة الفنية والإنتاج'!$D$24:$H$24,B44)*D44/$N$18,0)</f>
        <v>5000</v>
      </c>
      <c r="I44" s="31">
        <f>IF(D44&gt;0,H44/D44,0)</f>
        <v>192.307692307692</v>
      </c>
      <c r="J44" s="11">
        <f>SUM($H$6:H44)</f>
        <v>195000</v>
      </c>
      <c r="K44" s="11">
        <f>OreReserve-SUM($G$6:G44)</f>
        <v>170588.235294118</v>
      </c>
    </row>
    <row r="45">
      <c r="A45" s="52">
        <f>EDATE($N$21,C45-1)</f>
        <v>47849</v>
      </c>
      <c r="B45" s="7">
        <f>INT((C45-1)/12)+1</f>
        <v>4</v>
      </c>
      <c r="C45" s="7" t="n">
        <v>40</v>
      </c>
      <c r="D45" s="11">
        <f>INDEX($N$6:$N$17,MONTH(A45))</f>
        <v>26</v>
      </c>
      <c r="E45" s="17">
        <f>INDEX('الخطة الفنية والإنتاج'!$D$20:$H$20,B45)</f>
        <v>1</v>
      </c>
      <c r="F45" s="11">
        <f>IF($N$18&gt;0,INDEX('الخطة الفنية والإنتاج'!$D$22:$H$22,B45)*D45/$N$18,0)</f>
        <v>29411.7647058824</v>
      </c>
      <c r="G45" s="11">
        <f>IF($N$18&gt;0,INDEX('الخطة الفنية والإنتاج'!$D$23:$H$23,B45)*D45/$N$18,0)</f>
        <v>5882.35294117647</v>
      </c>
      <c r="H45" s="13">
        <f>IF($N$18&gt;0,INDEX('الخطة الفنية والإنتاج'!$D$24:$H$24,B45)*D45/$N$18,0)</f>
        <v>5000</v>
      </c>
      <c r="I45" s="31">
        <f>IF(D45&gt;0,H45/D45,0)</f>
        <v>192.307692307692</v>
      </c>
      <c r="J45" s="11">
        <f>SUM($H$6:H45)</f>
        <v>200000</v>
      </c>
      <c r="K45" s="11">
        <f>OreReserve-SUM($G$6:G45)</f>
        <v>164705.882352941</v>
      </c>
    </row>
    <row r="46">
      <c r="A46" s="52">
        <f>EDATE($N$21,C46-1)</f>
        <v>47880</v>
      </c>
      <c r="B46" s="7">
        <f>INT((C46-1)/12)+1</f>
        <v>4</v>
      </c>
      <c r="C46" s="7" t="n">
        <v>41</v>
      </c>
      <c r="D46" s="11">
        <f>INDEX($N$6:$N$17,MONTH(A46))</f>
        <v>26</v>
      </c>
      <c r="E46" s="17">
        <f>INDEX('الخطة الفنية والإنتاج'!$D$20:$H$20,B46)</f>
        <v>1</v>
      </c>
      <c r="F46" s="11">
        <f>IF($N$18&gt;0,INDEX('الخطة الفنية والإنتاج'!$D$22:$H$22,B46)*D46/$N$18,0)</f>
        <v>29411.7647058824</v>
      </c>
      <c r="G46" s="11">
        <f>IF($N$18&gt;0,INDEX('الخطة الفنية والإنتاج'!$D$23:$H$23,B46)*D46/$N$18,0)</f>
        <v>5882.35294117647</v>
      </c>
      <c r="H46" s="13">
        <f>IF($N$18&gt;0,INDEX('الخطة الفنية والإنتاج'!$D$24:$H$24,B46)*D46/$N$18,0)</f>
        <v>5000</v>
      </c>
      <c r="I46" s="31">
        <f>IF(D46&gt;0,H46/D46,0)</f>
        <v>192.307692307692</v>
      </c>
      <c r="J46" s="11">
        <f>SUM($H$6:H46)</f>
        <v>205000</v>
      </c>
      <c r="K46" s="11">
        <f>OreReserve-SUM($G$6:G46)</f>
        <v>158823.529411765</v>
      </c>
    </row>
    <row r="47">
      <c r="A47" s="52">
        <f>EDATE($N$21,C47-1)</f>
        <v>47908</v>
      </c>
      <c r="B47" s="7">
        <f>INT((C47-1)/12)+1</f>
        <v>4</v>
      </c>
      <c r="C47" s="7" t="n">
        <v>42</v>
      </c>
      <c r="D47" s="11">
        <f>INDEX($N$6:$N$17,MONTH(A47))</f>
        <v>26</v>
      </c>
      <c r="E47" s="17">
        <f>INDEX('الخطة الفنية والإنتاج'!$D$20:$H$20,B47)</f>
        <v>1</v>
      </c>
      <c r="F47" s="11">
        <f>IF($N$18&gt;0,INDEX('الخطة الفنية والإنتاج'!$D$22:$H$22,B47)*D47/$N$18,0)</f>
        <v>29411.7647058824</v>
      </c>
      <c r="G47" s="11">
        <f>IF($N$18&gt;0,INDEX('الخطة الفنية والإنتاج'!$D$23:$H$23,B47)*D47/$N$18,0)</f>
        <v>5882.35294117647</v>
      </c>
      <c r="H47" s="13">
        <f>IF($N$18&gt;0,INDEX('الخطة الفنية والإنتاج'!$D$24:$H$24,B47)*D47/$N$18,0)</f>
        <v>5000</v>
      </c>
      <c r="I47" s="31">
        <f>IF(D47&gt;0,H47/D47,0)</f>
        <v>192.307692307692</v>
      </c>
      <c r="J47" s="11">
        <f>SUM($H$6:H47)</f>
        <v>210000</v>
      </c>
      <c r="K47" s="11">
        <f>OreReserve-SUM($G$6:G47)</f>
        <v>152941.176470588</v>
      </c>
    </row>
    <row r="48">
      <c r="A48" s="52">
        <f>EDATE($N$21,C48-1)</f>
        <v>47939</v>
      </c>
      <c r="B48" s="7">
        <f>INT((C48-1)/12)+1</f>
        <v>4</v>
      </c>
      <c r="C48" s="7" t="n">
        <v>43</v>
      </c>
      <c r="D48" s="11">
        <f>INDEX($N$6:$N$17,MONTH(A48))</f>
        <v>26</v>
      </c>
      <c r="E48" s="17">
        <f>INDEX('الخطة الفنية والإنتاج'!$D$20:$H$20,B48)</f>
        <v>1</v>
      </c>
      <c r="F48" s="11">
        <f>IF($N$18&gt;0,INDEX('الخطة الفنية والإنتاج'!$D$22:$H$22,B48)*D48/$N$18,0)</f>
        <v>29411.7647058824</v>
      </c>
      <c r="G48" s="11">
        <f>IF($N$18&gt;0,INDEX('الخطة الفنية والإنتاج'!$D$23:$H$23,B48)*D48/$N$18,0)</f>
        <v>5882.35294117647</v>
      </c>
      <c r="H48" s="13">
        <f>IF($N$18&gt;0,INDEX('الخطة الفنية والإنتاج'!$D$24:$H$24,B48)*D48/$N$18,0)</f>
        <v>5000</v>
      </c>
      <c r="I48" s="31">
        <f>IF(D48&gt;0,H48/D48,0)</f>
        <v>192.307692307692</v>
      </c>
      <c r="J48" s="11">
        <f>SUM($H$6:H48)</f>
        <v>215000</v>
      </c>
      <c r="K48" s="11">
        <f>OreReserve-SUM($G$6:G48)</f>
        <v>147058.823529412</v>
      </c>
    </row>
    <row r="49">
      <c r="A49" s="52">
        <f>EDATE($N$21,C49-1)</f>
        <v>47969</v>
      </c>
      <c r="B49" s="7">
        <f>INT((C49-1)/12)+1</f>
        <v>4</v>
      </c>
      <c r="C49" s="7" t="n">
        <v>44</v>
      </c>
      <c r="D49" s="11">
        <f>INDEX($N$6:$N$17,MONTH(A49))</f>
        <v>26</v>
      </c>
      <c r="E49" s="17">
        <f>INDEX('الخطة الفنية والإنتاج'!$D$20:$H$20,B49)</f>
        <v>1</v>
      </c>
      <c r="F49" s="11">
        <f>IF($N$18&gt;0,INDEX('الخطة الفنية والإنتاج'!$D$22:$H$22,B49)*D49/$N$18,0)</f>
        <v>29411.7647058824</v>
      </c>
      <c r="G49" s="11">
        <f>IF($N$18&gt;0,INDEX('الخطة الفنية والإنتاج'!$D$23:$H$23,B49)*D49/$N$18,0)</f>
        <v>5882.35294117647</v>
      </c>
      <c r="H49" s="13">
        <f>IF($N$18&gt;0,INDEX('الخطة الفنية والإنتاج'!$D$24:$H$24,B49)*D49/$N$18,0)</f>
        <v>5000</v>
      </c>
      <c r="I49" s="31">
        <f>IF(D49&gt;0,H49/D49,0)</f>
        <v>192.307692307692</v>
      </c>
      <c r="J49" s="11">
        <f>SUM($H$6:H49)</f>
        <v>220000</v>
      </c>
      <c r="K49" s="11">
        <f>OreReserve-SUM($G$6:G49)</f>
        <v>141176.470588235</v>
      </c>
    </row>
    <row r="50">
      <c r="A50" s="52">
        <f>EDATE($N$21,C50-1)</f>
        <v>48000</v>
      </c>
      <c r="B50" s="7">
        <f>INT((C50-1)/12)+1</f>
        <v>4</v>
      </c>
      <c r="C50" s="7" t="n">
        <v>45</v>
      </c>
      <c r="D50" s="11">
        <f>INDEX($N$6:$N$17,MONTH(A50))</f>
        <v>26</v>
      </c>
      <c r="E50" s="17">
        <f>INDEX('الخطة الفنية والإنتاج'!$D$20:$H$20,B50)</f>
        <v>1</v>
      </c>
      <c r="F50" s="11">
        <f>IF($N$18&gt;0,INDEX('الخطة الفنية والإنتاج'!$D$22:$H$22,B50)*D50/$N$18,0)</f>
        <v>29411.7647058824</v>
      </c>
      <c r="G50" s="11">
        <f>IF($N$18&gt;0,INDEX('الخطة الفنية والإنتاج'!$D$23:$H$23,B50)*D50/$N$18,0)</f>
        <v>5882.35294117647</v>
      </c>
      <c r="H50" s="13">
        <f>IF($N$18&gt;0,INDEX('الخطة الفنية والإنتاج'!$D$24:$H$24,B50)*D50/$N$18,0)</f>
        <v>5000</v>
      </c>
      <c r="I50" s="31">
        <f>IF(D50&gt;0,H50/D50,0)</f>
        <v>192.307692307692</v>
      </c>
      <c r="J50" s="11">
        <f>SUM($H$6:H50)</f>
        <v>225000</v>
      </c>
      <c r="K50" s="11">
        <f>OreReserve-SUM($G$6:G50)</f>
        <v>135294.117647059</v>
      </c>
    </row>
    <row r="51">
      <c r="A51" s="52">
        <f>EDATE($N$21,C51-1)</f>
        <v>48030</v>
      </c>
      <c r="B51" s="7">
        <f>INT((C51-1)/12)+1</f>
        <v>4</v>
      </c>
      <c r="C51" s="7" t="n">
        <v>46</v>
      </c>
      <c r="D51" s="11">
        <f>INDEX($N$6:$N$17,MONTH(A51))</f>
        <v>26</v>
      </c>
      <c r="E51" s="17">
        <f>INDEX('الخطة الفنية والإنتاج'!$D$20:$H$20,B51)</f>
        <v>1</v>
      </c>
      <c r="F51" s="11">
        <f>IF($N$18&gt;0,INDEX('الخطة الفنية والإنتاج'!$D$22:$H$22,B51)*D51/$N$18,0)</f>
        <v>29411.7647058824</v>
      </c>
      <c r="G51" s="11">
        <f>IF($N$18&gt;0,INDEX('الخطة الفنية والإنتاج'!$D$23:$H$23,B51)*D51/$N$18,0)</f>
        <v>5882.35294117647</v>
      </c>
      <c r="H51" s="13">
        <f>IF($N$18&gt;0,INDEX('الخطة الفنية والإنتاج'!$D$24:$H$24,B51)*D51/$N$18,0)</f>
        <v>5000</v>
      </c>
      <c r="I51" s="31">
        <f>IF(D51&gt;0,H51/D51,0)</f>
        <v>192.307692307692</v>
      </c>
      <c r="J51" s="11">
        <f>SUM($H$6:H51)</f>
        <v>230000</v>
      </c>
      <c r="K51" s="11">
        <f>OreReserve-SUM($G$6:G51)</f>
        <v>129411.764705882</v>
      </c>
    </row>
    <row r="52">
      <c r="A52" s="52">
        <f>EDATE($N$21,C52-1)</f>
        <v>48061</v>
      </c>
      <c r="B52" s="7">
        <f>INT((C52-1)/12)+1</f>
        <v>4</v>
      </c>
      <c r="C52" s="7" t="n">
        <v>47</v>
      </c>
      <c r="D52" s="11">
        <f>INDEX($N$6:$N$17,MONTH(A52))</f>
        <v>26</v>
      </c>
      <c r="E52" s="17">
        <f>INDEX('الخطة الفنية والإنتاج'!$D$20:$H$20,B52)</f>
        <v>1</v>
      </c>
      <c r="F52" s="11">
        <f>IF($N$18&gt;0,INDEX('الخطة الفنية والإنتاج'!$D$22:$H$22,B52)*D52/$N$18,0)</f>
        <v>29411.7647058824</v>
      </c>
      <c r="G52" s="11">
        <f>IF($N$18&gt;0,INDEX('الخطة الفنية والإنتاج'!$D$23:$H$23,B52)*D52/$N$18,0)</f>
        <v>5882.35294117647</v>
      </c>
      <c r="H52" s="13">
        <f>IF($N$18&gt;0,INDEX('الخطة الفنية والإنتاج'!$D$24:$H$24,B52)*D52/$N$18,0)</f>
        <v>5000</v>
      </c>
      <c r="I52" s="31">
        <f>IF(D52&gt;0,H52/D52,0)</f>
        <v>192.307692307692</v>
      </c>
      <c r="J52" s="11">
        <f>SUM($H$6:H52)</f>
        <v>235000</v>
      </c>
      <c r="K52" s="11">
        <f>OreReserve-SUM($G$6:G52)</f>
        <v>123529.411764706</v>
      </c>
    </row>
    <row r="53">
      <c r="A53" s="52">
        <f>EDATE($N$21,C53-1)</f>
        <v>48092</v>
      </c>
      <c r="B53" s="7">
        <f>INT((C53-1)/12)+1</f>
        <v>4</v>
      </c>
      <c r="C53" s="7" t="n">
        <v>48</v>
      </c>
      <c r="D53" s="11">
        <f>INDEX($N$6:$N$17,MONTH(A53))</f>
        <v>26</v>
      </c>
      <c r="E53" s="17">
        <f>INDEX('الخطة الفنية والإنتاج'!$D$20:$H$20,B53)</f>
        <v>1</v>
      </c>
      <c r="F53" s="11">
        <f>IF($N$18&gt;0,INDEX('الخطة الفنية والإنتاج'!$D$22:$H$22,B53)*D53/$N$18,0)</f>
        <v>29411.7647058824</v>
      </c>
      <c r="G53" s="11">
        <f>IF($N$18&gt;0,INDEX('الخطة الفنية والإنتاج'!$D$23:$H$23,B53)*D53/$N$18,0)</f>
        <v>5882.35294117647</v>
      </c>
      <c r="H53" s="13">
        <f>IF($N$18&gt;0,INDEX('الخطة الفنية والإنتاج'!$D$24:$H$24,B53)*D53/$N$18,0)</f>
        <v>5000</v>
      </c>
      <c r="I53" s="31">
        <f>IF(D53&gt;0,H53/D53,0)</f>
        <v>192.307692307692</v>
      </c>
      <c r="J53" s="11">
        <f>SUM($H$6:H53)</f>
        <v>240000</v>
      </c>
      <c r="K53" s="11">
        <f>OreReserve-SUM($G$6:G53)</f>
        <v>117647.058823529</v>
      </c>
    </row>
    <row r="54">
      <c r="A54" s="52">
        <f>EDATE($N$21,C54-1)</f>
        <v>48122</v>
      </c>
      <c r="B54" s="7">
        <f>INT((C54-1)/12)+1</f>
        <v>5</v>
      </c>
      <c r="C54" s="7" t="n">
        <v>49</v>
      </c>
      <c r="D54" s="11">
        <f>INDEX($N$6:$N$17,MONTH(A54))</f>
        <v>26</v>
      </c>
      <c r="E54" s="17">
        <f>INDEX('الخطة الفنية والإنتاج'!$D$20:$H$20,B54)</f>
        <v>1</v>
      </c>
      <c r="F54" s="11">
        <f>IF($N$18&gt;0,INDEX('الخطة الفنية والإنتاج'!$D$22:$H$22,B54)*D54/$N$18,0)</f>
        <v>29411.7647058824</v>
      </c>
      <c r="G54" s="11">
        <f>IF($N$18&gt;0,INDEX('الخطة الفنية والإنتاج'!$D$23:$H$23,B54)*D54/$N$18,0)</f>
        <v>5882.35294117647</v>
      </c>
      <c r="H54" s="13">
        <f>IF($N$18&gt;0,INDEX('الخطة الفنية والإنتاج'!$D$24:$H$24,B54)*D54/$N$18,0)</f>
        <v>5000</v>
      </c>
      <c r="I54" s="31">
        <f>IF(D54&gt;0,H54/D54,0)</f>
        <v>192.307692307692</v>
      </c>
      <c r="J54" s="11">
        <f>SUM($H$6:H54)</f>
        <v>245000</v>
      </c>
      <c r="K54" s="11">
        <f>OreReserve-SUM($G$6:G54)</f>
        <v>111764.705882353</v>
      </c>
    </row>
    <row r="55">
      <c r="A55" s="52">
        <f>EDATE($N$21,C55-1)</f>
        <v>48153</v>
      </c>
      <c r="B55" s="7">
        <f>INT((C55-1)/12)+1</f>
        <v>5</v>
      </c>
      <c r="C55" s="7" t="n">
        <v>50</v>
      </c>
      <c r="D55" s="11">
        <f>INDEX($N$6:$N$17,MONTH(A55))</f>
        <v>26</v>
      </c>
      <c r="E55" s="17">
        <f>INDEX('الخطة الفنية والإنتاج'!$D$20:$H$20,B55)</f>
        <v>1</v>
      </c>
      <c r="F55" s="11">
        <f>IF($N$18&gt;0,INDEX('الخطة الفنية والإنتاج'!$D$22:$H$22,B55)*D55/$N$18,0)</f>
        <v>29411.7647058824</v>
      </c>
      <c r="G55" s="11">
        <f>IF($N$18&gt;0,INDEX('الخطة الفنية والإنتاج'!$D$23:$H$23,B55)*D55/$N$18,0)</f>
        <v>5882.35294117647</v>
      </c>
      <c r="H55" s="13">
        <f>IF($N$18&gt;0,INDEX('الخطة الفنية والإنتاج'!$D$24:$H$24,B55)*D55/$N$18,0)</f>
        <v>5000</v>
      </c>
      <c r="I55" s="31">
        <f>IF(D55&gt;0,H55/D55,0)</f>
        <v>192.307692307692</v>
      </c>
      <c r="J55" s="11">
        <f>SUM($H$6:H55)</f>
        <v>250000</v>
      </c>
      <c r="K55" s="11">
        <f>OreReserve-SUM($G$6:G55)</f>
        <v>105882.352941177</v>
      </c>
    </row>
    <row r="56">
      <c r="A56" s="52">
        <f>EDATE($N$21,C56-1)</f>
        <v>48183</v>
      </c>
      <c r="B56" s="7">
        <f>INT((C56-1)/12)+1</f>
        <v>5</v>
      </c>
      <c r="C56" s="7" t="n">
        <v>51</v>
      </c>
      <c r="D56" s="11">
        <f>INDEX($N$6:$N$17,MONTH(A56))</f>
        <v>26</v>
      </c>
      <c r="E56" s="17">
        <f>INDEX('الخطة الفنية والإنتاج'!$D$20:$H$20,B56)</f>
        <v>1</v>
      </c>
      <c r="F56" s="11">
        <f>IF($N$18&gt;0,INDEX('الخطة الفنية والإنتاج'!$D$22:$H$22,B56)*D56/$N$18,0)</f>
        <v>29411.7647058824</v>
      </c>
      <c r="G56" s="11">
        <f>IF($N$18&gt;0,INDEX('الخطة الفنية والإنتاج'!$D$23:$H$23,B56)*D56/$N$18,0)</f>
        <v>5882.35294117647</v>
      </c>
      <c r="H56" s="13">
        <f>IF($N$18&gt;0,INDEX('الخطة الفنية والإنتاج'!$D$24:$H$24,B56)*D56/$N$18,0)</f>
        <v>5000</v>
      </c>
      <c r="I56" s="31">
        <f>IF(D56&gt;0,H56/D56,0)</f>
        <v>192.307692307692</v>
      </c>
      <c r="J56" s="11">
        <f>SUM($H$6:H56)</f>
        <v>255000</v>
      </c>
      <c r="K56" s="11">
        <f>OreReserve-SUM($G$6:G56)</f>
        <v>100000</v>
      </c>
    </row>
    <row r="57">
      <c r="A57" s="52">
        <f>EDATE($N$21,C57-1)</f>
        <v>48214</v>
      </c>
      <c r="B57" s="7">
        <f>INT((C57-1)/12)+1</f>
        <v>5</v>
      </c>
      <c r="C57" s="7" t="n">
        <v>52</v>
      </c>
      <c r="D57" s="11">
        <f>INDEX($N$6:$N$17,MONTH(A57))</f>
        <v>26</v>
      </c>
      <c r="E57" s="17">
        <f>INDEX('الخطة الفنية والإنتاج'!$D$20:$H$20,B57)</f>
        <v>1</v>
      </c>
      <c r="F57" s="11">
        <f>IF($N$18&gt;0,INDEX('الخطة الفنية والإنتاج'!$D$22:$H$22,B57)*D57/$N$18,0)</f>
        <v>29411.7647058824</v>
      </c>
      <c r="G57" s="11">
        <f>IF($N$18&gt;0,INDEX('الخطة الفنية والإنتاج'!$D$23:$H$23,B57)*D57/$N$18,0)</f>
        <v>5882.35294117647</v>
      </c>
      <c r="H57" s="13">
        <f>IF($N$18&gt;0,INDEX('الخطة الفنية والإنتاج'!$D$24:$H$24,B57)*D57/$N$18,0)</f>
        <v>5000</v>
      </c>
      <c r="I57" s="31">
        <f>IF(D57&gt;0,H57/D57,0)</f>
        <v>192.307692307692</v>
      </c>
      <c r="J57" s="11">
        <f>SUM($H$6:H57)</f>
        <v>260000</v>
      </c>
      <c r="K57" s="11">
        <f>OreReserve-SUM($G$6:G57)</f>
        <v>94117.6470588236</v>
      </c>
    </row>
    <row r="58">
      <c r="A58" s="52">
        <f>EDATE($N$21,C58-1)</f>
        <v>48245</v>
      </c>
      <c r="B58" s="7">
        <f>INT((C58-1)/12)+1</f>
        <v>5</v>
      </c>
      <c r="C58" s="7" t="n">
        <v>53</v>
      </c>
      <c r="D58" s="11">
        <f>INDEX($N$6:$N$17,MONTH(A58))</f>
        <v>26</v>
      </c>
      <c r="E58" s="17">
        <f>INDEX('الخطة الفنية والإنتاج'!$D$20:$H$20,B58)</f>
        <v>1</v>
      </c>
      <c r="F58" s="11">
        <f>IF($N$18&gt;0,INDEX('الخطة الفنية والإنتاج'!$D$22:$H$22,B58)*D58/$N$18,0)</f>
        <v>29411.7647058824</v>
      </c>
      <c r="G58" s="11">
        <f>IF($N$18&gt;0,INDEX('الخطة الفنية والإنتاج'!$D$23:$H$23,B58)*D58/$N$18,0)</f>
        <v>5882.35294117647</v>
      </c>
      <c r="H58" s="13">
        <f>IF($N$18&gt;0,INDEX('الخطة الفنية والإنتاج'!$D$24:$H$24,B58)*D58/$N$18,0)</f>
        <v>5000</v>
      </c>
      <c r="I58" s="31">
        <f>IF(D58&gt;0,H58/D58,0)</f>
        <v>192.307692307692</v>
      </c>
      <c r="J58" s="11">
        <f>SUM($H$6:H58)</f>
        <v>265000</v>
      </c>
      <c r="K58" s="11">
        <f>OreReserve-SUM($G$6:G58)</f>
        <v>88235.2941176471</v>
      </c>
    </row>
    <row r="59">
      <c r="A59" s="52">
        <f>EDATE($N$21,C59-1)</f>
        <v>48274</v>
      </c>
      <c r="B59" s="7">
        <f>INT((C59-1)/12)+1</f>
        <v>5</v>
      </c>
      <c r="C59" s="7" t="n">
        <v>54</v>
      </c>
      <c r="D59" s="11">
        <f>INDEX($N$6:$N$17,MONTH(A59))</f>
        <v>26</v>
      </c>
      <c r="E59" s="17">
        <f>INDEX('الخطة الفنية والإنتاج'!$D$20:$H$20,B59)</f>
        <v>1</v>
      </c>
      <c r="F59" s="11">
        <f>IF($N$18&gt;0,INDEX('الخطة الفنية والإنتاج'!$D$22:$H$22,B59)*D59/$N$18,0)</f>
        <v>29411.7647058824</v>
      </c>
      <c r="G59" s="11">
        <f>IF($N$18&gt;0,INDEX('الخطة الفنية والإنتاج'!$D$23:$H$23,B59)*D59/$N$18,0)</f>
        <v>5882.35294117647</v>
      </c>
      <c r="H59" s="13">
        <f>IF($N$18&gt;0,INDEX('الخطة الفنية والإنتاج'!$D$24:$H$24,B59)*D59/$N$18,0)</f>
        <v>5000</v>
      </c>
      <c r="I59" s="31">
        <f>IF(D59&gt;0,H59/D59,0)</f>
        <v>192.307692307692</v>
      </c>
      <c r="J59" s="11">
        <f>SUM($H$6:H59)</f>
        <v>270000</v>
      </c>
      <c r="K59" s="11">
        <f>OreReserve-SUM($G$6:G59)</f>
        <v>82352.9411764706</v>
      </c>
    </row>
    <row r="60">
      <c r="A60" s="52">
        <f>EDATE($N$21,C60-1)</f>
        <v>48305</v>
      </c>
      <c r="B60" s="7">
        <f>INT((C60-1)/12)+1</f>
        <v>5</v>
      </c>
      <c r="C60" s="7" t="n">
        <v>55</v>
      </c>
      <c r="D60" s="11">
        <f>INDEX($N$6:$N$17,MONTH(A60))</f>
        <v>26</v>
      </c>
      <c r="E60" s="17">
        <f>INDEX('الخطة الفنية والإنتاج'!$D$20:$H$20,B60)</f>
        <v>1</v>
      </c>
      <c r="F60" s="11">
        <f>IF($N$18&gt;0,INDEX('الخطة الفنية والإنتاج'!$D$22:$H$22,B60)*D60/$N$18,0)</f>
        <v>29411.7647058824</v>
      </c>
      <c r="G60" s="11">
        <f>IF($N$18&gt;0,INDEX('الخطة الفنية والإنتاج'!$D$23:$H$23,B60)*D60/$N$18,0)</f>
        <v>5882.35294117647</v>
      </c>
      <c r="H60" s="13">
        <f>IF($N$18&gt;0,INDEX('الخطة الفنية والإنتاج'!$D$24:$H$24,B60)*D60/$N$18,0)</f>
        <v>5000</v>
      </c>
      <c r="I60" s="31">
        <f>IF(D60&gt;0,H60/D60,0)</f>
        <v>192.307692307692</v>
      </c>
      <c r="J60" s="11">
        <f>SUM($H$6:H60)</f>
        <v>275000</v>
      </c>
      <c r="K60" s="11">
        <f>OreReserve-SUM($G$6:G60)</f>
        <v>76470.5882352942</v>
      </c>
    </row>
    <row r="61">
      <c r="A61" s="52">
        <f>EDATE($N$21,C61-1)</f>
        <v>48335</v>
      </c>
      <c r="B61" s="7">
        <f>INT((C61-1)/12)+1</f>
        <v>5</v>
      </c>
      <c r="C61" s="7" t="n">
        <v>56</v>
      </c>
      <c r="D61" s="11">
        <f>INDEX($N$6:$N$17,MONTH(A61))</f>
        <v>26</v>
      </c>
      <c r="E61" s="17">
        <f>INDEX('الخطة الفنية والإنتاج'!$D$20:$H$20,B61)</f>
        <v>1</v>
      </c>
      <c r="F61" s="11">
        <f>IF($N$18&gt;0,INDEX('الخطة الفنية والإنتاج'!$D$22:$H$22,B61)*D61/$N$18,0)</f>
        <v>29411.7647058824</v>
      </c>
      <c r="G61" s="11">
        <f>IF($N$18&gt;0,INDEX('الخطة الفنية والإنتاج'!$D$23:$H$23,B61)*D61/$N$18,0)</f>
        <v>5882.35294117647</v>
      </c>
      <c r="H61" s="13">
        <f>IF($N$18&gt;0,INDEX('الخطة الفنية والإنتاج'!$D$24:$H$24,B61)*D61/$N$18,0)</f>
        <v>5000</v>
      </c>
      <c r="I61" s="31">
        <f>IF(D61&gt;0,H61/D61,0)</f>
        <v>192.307692307692</v>
      </c>
      <c r="J61" s="11">
        <f>SUM($H$6:H61)</f>
        <v>280000</v>
      </c>
      <c r="K61" s="11">
        <f>OreReserve-SUM($G$6:G61)</f>
        <v>70588.2352941177</v>
      </c>
    </row>
    <row r="62">
      <c r="A62" s="52">
        <f>EDATE($N$21,C62-1)</f>
        <v>48366</v>
      </c>
      <c r="B62" s="7">
        <f>INT((C62-1)/12)+1</f>
        <v>5</v>
      </c>
      <c r="C62" s="7" t="n">
        <v>57</v>
      </c>
      <c r="D62" s="11">
        <f>INDEX($N$6:$N$17,MONTH(A62))</f>
        <v>26</v>
      </c>
      <c r="E62" s="17">
        <f>INDEX('الخطة الفنية والإنتاج'!$D$20:$H$20,B62)</f>
        <v>1</v>
      </c>
      <c r="F62" s="11">
        <f>IF($N$18&gt;0,INDEX('الخطة الفنية والإنتاج'!$D$22:$H$22,B62)*D62/$N$18,0)</f>
        <v>29411.7647058824</v>
      </c>
      <c r="G62" s="11">
        <f>IF($N$18&gt;0,INDEX('الخطة الفنية والإنتاج'!$D$23:$H$23,B62)*D62/$N$18,0)</f>
        <v>5882.35294117647</v>
      </c>
      <c r="H62" s="13">
        <f>IF($N$18&gt;0,INDEX('الخطة الفنية والإنتاج'!$D$24:$H$24,B62)*D62/$N$18,0)</f>
        <v>5000</v>
      </c>
      <c r="I62" s="31">
        <f>IF(D62&gt;0,H62/D62,0)</f>
        <v>192.307692307692</v>
      </c>
      <c r="J62" s="11">
        <f>SUM($H$6:H62)</f>
        <v>285000</v>
      </c>
      <c r="K62" s="11">
        <f>OreReserve-SUM($G$6:G62)</f>
        <v>64705.8823529412</v>
      </c>
    </row>
    <row r="63">
      <c r="A63" s="52">
        <f>EDATE($N$21,C63-1)</f>
        <v>48396</v>
      </c>
      <c r="B63" s="7">
        <f>INT((C63-1)/12)+1</f>
        <v>5</v>
      </c>
      <c r="C63" s="7" t="n">
        <v>58</v>
      </c>
      <c r="D63" s="11">
        <f>INDEX($N$6:$N$17,MONTH(A63))</f>
        <v>26</v>
      </c>
      <c r="E63" s="17">
        <f>INDEX('الخطة الفنية والإنتاج'!$D$20:$H$20,B63)</f>
        <v>1</v>
      </c>
      <c r="F63" s="11">
        <f>IF($N$18&gt;0,INDEX('الخطة الفنية والإنتاج'!$D$22:$H$22,B63)*D63/$N$18,0)</f>
        <v>29411.7647058824</v>
      </c>
      <c r="G63" s="11">
        <f>IF($N$18&gt;0,INDEX('الخطة الفنية والإنتاج'!$D$23:$H$23,B63)*D63/$N$18,0)</f>
        <v>5882.35294117647</v>
      </c>
      <c r="H63" s="13">
        <f>IF($N$18&gt;0,INDEX('الخطة الفنية والإنتاج'!$D$24:$H$24,B63)*D63/$N$18,0)</f>
        <v>5000</v>
      </c>
      <c r="I63" s="31">
        <f>IF(D63&gt;0,H63/D63,0)</f>
        <v>192.307692307692</v>
      </c>
      <c r="J63" s="11">
        <f>SUM($H$6:H63)</f>
        <v>290000</v>
      </c>
      <c r="K63" s="11">
        <f>OreReserve-SUM($G$6:G63)</f>
        <v>58823.5294117648</v>
      </c>
    </row>
    <row r="64">
      <c r="A64" s="52">
        <f>EDATE($N$21,C64-1)</f>
        <v>48427</v>
      </c>
      <c r="B64" s="7">
        <f>INT((C64-1)/12)+1</f>
        <v>5</v>
      </c>
      <c r="C64" s="7" t="n">
        <v>59</v>
      </c>
      <c r="D64" s="11">
        <f>INDEX($N$6:$N$17,MONTH(A64))</f>
        <v>26</v>
      </c>
      <c r="E64" s="17">
        <f>INDEX('الخطة الفنية والإنتاج'!$D$20:$H$20,B64)</f>
        <v>1</v>
      </c>
      <c r="F64" s="11">
        <f>IF($N$18&gt;0,INDEX('الخطة الفنية والإنتاج'!$D$22:$H$22,B64)*D64/$N$18,0)</f>
        <v>29411.7647058824</v>
      </c>
      <c r="G64" s="11">
        <f>IF($N$18&gt;0,INDEX('الخطة الفنية والإنتاج'!$D$23:$H$23,B64)*D64/$N$18,0)</f>
        <v>5882.35294117647</v>
      </c>
      <c r="H64" s="13">
        <f>IF($N$18&gt;0,INDEX('الخطة الفنية والإنتاج'!$D$24:$H$24,B64)*D64/$N$18,0)</f>
        <v>5000</v>
      </c>
      <c r="I64" s="31">
        <f>IF(D64&gt;0,H64/D64,0)</f>
        <v>192.307692307692</v>
      </c>
      <c r="J64" s="11">
        <f>SUM($H$6:H64)</f>
        <v>295000</v>
      </c>
      <c r="K64" s="11">
        <f>OreReserve-SUM($G$6:G64)</f>
        <v>52941.1764705883</v>
      </c>
    </row>
    <row r="65">
      <c r="A65" s="52">
        <f>EDATE($N$21,C65-1)</f>
        <v>48458</v>
      </c>
      <c r="B65" s="7">
        <f>INT((C65-1)/12)+1</f>
        <v>5</v>
      </c>
      <c r="C65" s="7" t="n">
        <v>60</v>
      </c>
      <c r="D65" s="11">
        <f>INDEX($N$6:$N$17,MONTH(A65))</f>
        <v>26</v>
      </c>
      <c r="E65" s="17">
        <f>INDEX('الخطة الفنية والإنتاج'!$D$20:$H$20,B65)</f>
        <v>1</v>
      </c>
      <c r="F65" s="11">
        <f>IF($N$18&gt;0,INDEX('الخطة الفنية والإنتاج'!$D$22:$H$22,B65)*D65/$N$18,0)</f>
        <v>29411.7647058824</v>
      </c>
      <c r="G65" s="11">
        <f>IF($N$18&gt;0,INDEX('الخطة الفنية والإنتاج'!$D$23:$H$23,B65)*D65/$N$18,0)</f>
        <v>5882.35294117647</v>
      </c>
      <c r="H65" s="13">
        <f>IF($N$18&gt;0,INDEX('الخطة الفنية والإنتاج'!$D$24:$H$24,B65)*D65/$N$18,0)</f>
        <v>5000</v>
      </c>
      <c r="I65" s="31">
        <f>IF(D65&gt;0,H65/D65,0)</f>
        <v>192.307692307692</v>
      </c>
      <c r="J65" s="11">
        <f>SUM($H$6:H65)</f>
        <v>300000</v>
      </c>
      <c r="K65" s="11">
        <f>OreReserve-SUM($G$6:G65)</f>
        <v>47058.8235294118</v>
      </c>
    </row>
    <row r="66">
      <c r="A66" s="32" t="inlineStr">
        <is>
          <t>الإجمالي (5 سنوات)</t>
        </is>
      </c>
      <c r="B66" s="12" t="n"/>
      <c r="C66" s="12" t="n"/>
      <c r="D66" s="12">
        <f>SUM(D6:D65)</f>
        <v>1560</v>
      </c>
      <c r="E66" s="12" t="n"/>
      <c r="F66" s="12">
        <f>SUM(F6:F65)</f>
        <v>1764705.88235294</v>
      </c>
      <c r="G66" s="12">
        <f>SUM(G6:G65)</f>
        <v>352941.176470588</v>
      </c>
      <c r="H66" s="12">
        <f>SUM(H6:H65)</f>
        <v>300000</v>
      </c>
      <c r="I66" s="12" t="n"/>
      <c r="J66" s="12" t="n"/>
      <c r="K66" s="12" t="n"/>
    </row>
  </sheetData>
  <pageMargins left="0.5" right="0.5" top="0.6" bottom="0.6" header="0.3" footer="0.3"/>
  <pageSetup orientation="landscape" paperSize="9" fitToHeight="0"/>
</worksheet>
</file>

<file path=xl/worksheets/sheet8.xml><?xml version="1.0" encoding="utf-8"?>
<worksheet xmlns="http://schemas.openxmlformats.org/spreadsheetml/2006/main">
  <sheetPr>
    <tabColor rgb="FF0070C0"/>
    <outlinePr summaryBelow="1" summaryRight="1"/>
    <pageSetUpPr fitToPage="1"/>
  </sheetPr>
  <dimension ref="A1:R31"/>
  <sheetViews>
    <sheetView showGridLines="0" rightToLeft="1" zoomScale="90" zoomScaleNormal="90" workbookViewId="0">
      <pane xSplit="2" ySplit="4" topLeftCell="C5" activePane="bottomRight" state="frozen"/>
      <selection pane="topRight" activeCell="C1" sqref="C1"/>
      <selection pane="bottomLeft" activeCell="A5" sqref="A5"/>
      <selection pane="bottomRight" activeCell="A1" sqref="A1"/>
    </sheetView>
  </sheetViews>
  <sheetFormatPr baseColWidth="8" defaultRowHeight="12.75"/>
  <cols>
    <col width="50.7109375" customWidth="1" style="1" min="1" max="1"/>
    <col width="44.7109375" customWidth="1" style="1" min="2" max="2"/>
    <col width="11.7109375" customWidth="1" style="1" min="3" max="4"/>
    <col width="13.7109375" customWidth="1" style="1" min="5" max="6"/>
    <col width="5.28515625" customWidth="1" style="1" min="7" max="18"/>
    <col width="9.140625" customWidth="1" style="1" min="19" max="16384"/>
  </cols>
  <sheetData>
    <row r="1" ht="20.25" customHeight="1">
      <c r="A1" s="3" t="inlineStr">
        <is>
          <t>مراحل وخطة تنفيذ المشروع</t>
        </is>
      </c>
    </row>
    <row r="2">
      <c r="A2" s="5" t="inlineStr">
        <is>
          <t>التسلسل الصحيح: استكشاف ← دراسات وتراخيص ← تمويل وتجهيز ← تأهيل الموقع ← إنتاج. المدد تقديرية وتُعدَّل من عمودي «شهر البداية» و«المدة»</t>
        </is>
      </c>
    </row>
    <row r="4">
      <c r="A4" s="6" t="inlineStr">
        <is>
          <t>المهمة</t>
        </is>
      </c>
      <c r="B4" s="6" t="inlineStr">
        <is>
          <t>الجهة / التفاصيل</t>
        </is>
      </c>
      <c r="C4" s="6" t="inlineStr">
        <is>
          <t>شهر البداية</t>
        </is>
      </c>
      <c r="D4" s="6" t="inlineStr">
        <is>
          <t>المدة (شهر)</t>
        </is>
      </c>
      <c r="E4" s="6" t="inlineStr">
        <is>
          <t>تاريخ البداية</t>
        </is>
      </c>
      <c r="F4" s="6" t="inlineStr">
        <is>
          <t>تاريخ النهاية</t>
        </is>
      </c>
      <c r="G4" s="39" t="n">
        <v>1</v>
      </c>
      <c r="H4" s="39" t="n">
        <v>2</v>
      </c>
      <c r="I4" s="39" t="n">
        <v>3</v>
      </c>
      <c r="J4" s="39" t="n">
        <v>4</v>
      </c>
      <c r="K4" s="39" t="n">
        <v>5</v>
      </c>
      <c r="L4" s="39" t="n">
        <v>6</v>
      </c>
      <c r="M4" s="39" t="n">
        <v>7</v>
      </c>
      <c r="N4" s="39" t="n">
        <v>8</v>
      </c>
      <c r="O4" s="39" t="n">
        <v>9</v>
      </c>
      <c r="P4" s="39" t="n">
        <v>10</v>
      </c>
      <c r="Q4" s="39" t="n">
        <v>11</v>
      </c>
      <c r="R4" s="39" t="n">
        <v>12</v>
      </c>
    </row>
    <row r="5">
      <c r="A5" s="15" t="inlineStr">
        <is>
          <t>المرحلة التمهيدية — الاستكشاف (منجزة)</t>
        </is>
      </c>
      <c r="B5" s="15" t="n"/>
      <c r="C5" s="15" t="n"/>
      <c r="D5" s="15" t="n"/>
      <c r="E5" s="15" t="n"/>
      <c r="F5" s="15" t="n"/>
      <c r="G5" s="15" t="n"/>
      <c r="H5" s="15" t="n"/>
      <c r="I5" s="15" t="n"/>
      <c r="J5" s="15" t="n"/>
      <c r="K5" s="15" t="n"/>
      <c r="L5" s="15" t="n"/>
      <c r="M5" s="15" t="n"/>
      <c r="N5" s="15" t="n"/>
      <c r="O5" s="15" t="n"/>
      <c r="P5" s="15" t="n"/>
      <c r="Q5" s="15" t="n"/>
      <c r="R5" s="15" t="n"/>
    </row>
    <row r="6">
      <c r="A6" s="43" t="inlineStr">
        <is>
          <t>ترخيص التنقيب والتصريح البيئي للتنقيب</t>
        </is>
      </c>
      <c r="B6" s="43" t="inlineStr">
        <is>
          <t>وزارة الطاقة والمعادن / هيئة البيئة — منجز</t>
        </is>
      </c>
      <c r="C6" s="43" t="n"/>
      <c r="D6" s="43" t="n"/>
      <c r="E6" s="43" t="n"/>
      <c r="F6" s="43" t="n"/>
      <c r="G6" s="43" t="n"/>
      <c r="H6" s="43" t="n"/>
      <c r="I6" s="43" t="n"/>
      <c r="J6" s="43" t="n"/>
      <c r="K6" s="43" t="n"/>
      <c r="L6" s="43" t="n"/>
      <c r="M6" s="43" t="n"/>
      <c r="N6" s="43" t="n"/>
      <c r="O6" s="43" t="n"/>
      <c r="P6" s="43" t="n"/>
      <c r="Q6" s="43" t="n"/>
      <c r="R6" s="43" t="n"/>
    </row>
    <row r="7">
      <c r="A7" s="43" t="inlineStr">
        <is>
          <t>فتح الطريق وأعمال التنقيب وأخذ العينات</t>
        </is>
      </c>
      <c r="B7" s="43" t="inlineStr">
        <is>
          <t>منجز خلال السنوات الثلاث الماضية (مصاريف مدفوعة سابقاً)</t>
        </is>
      </c>
      <c r="C7" s="43" t="n"/>
      <c r="D7" s="43" t="n"/>
      <c r="E7" s="43" t="n"/>
      <c r="F7" s="43" t="n"/>
      <c r="G7" s="43" t="n"/>
      <c r="H7" s="43" t="n"/>
      <c r="I7" s="43" t="n"/>
      <c r="J7" s="43" t="n"/>
      <c r="K7" s="43" t="n"/>
      <c r="L7" s="43" t="n"/>
      <c r="M7" s="43" t="n"/>
      <c r="N7" s="43" t="n"/>
      <c r="O7" s="43" t="n"/>
      <c r="P7" s="43" t="n"/>
      <c r="Q7" s="43" t="n"/>
      <c r="R7" s="43" t="n"/>
    </row>
    <row r="8">
      <c r="A8" s="15" t="inlineStr">
        <is>
          <t>المرحلة الأولى — الدراسات والتراخيص</t>
        </is>
      </c>
      <c r="B8" s="15" t="n"/>
      <c r="C8" s="15" t="n"/>
      <c r="D8" s="15" t="n"/>
      <c r="E8" s="15" t="n"/>
      <c r="F8" s="15" t="n"/>
      <c r="G8" s="42" t="n"/>
      <c r="H8" s="42" t="n"/>
      <c r="I8" s="42" t="n"/>
      <c r="J8" s="42" t="n"/>
      <c r="K8" s="42" t="n"/>
      <c r="L8" s="42" t="n"/>
      <c r="M8" s="42" t="n"/>
      <c r="N8" s="42" t="n"/>
      <c r="O8" s="42" t="n"/>
      <c r="P8" s="42" t="n"/>
      <c r="Q8" s="42" t="n"/>
      <c r="R8" s="42" t="n"/>
    </row>
    <row r="9">
      <c r="A9" s="43" t="inlineStr">
        <is>
          <t>التقرير الاستكشافي وتقدير الاحتياطي والدرجة</t>
        </is>
      </c>
      <c r="B9" s="43" t="inlineStr">
        <is>
          <t>جيولوجي معتمد / مختبر تحاليل</t>
        </is>
      </c>
      <c r="C9" s="10" t="n">
        <v>1</v>
      </c>
      <c r="D9" s="10" t="n">
        <v>2</v>
      </c>
      <c r="E9" s="41">
        <f>IF($D9&gt;0,EDATE(StartDate,$C9-1),"")</f>
        <v>46388</v>
      </c>
      <c r="F9" s="41">
        <f>IF($D9&gt;0,EDATE(StartDate,$C9-1+$D9)-1,"")</f>
        <v>46446</v>
      </c>
      <c r="G9" s="43" t="n"/>
      <c r="H9" s="43" t="n"/>
      <c r="I9" s="43" t="n"/>
      <c r="J9" s="43" t="n"/>
      <c r="K9" s="43" t="n"/>
      <c r="L9" s="43" t="n"/>
      <c r="M9" s="43" t="n"/>
      <c r="N9" s="43" t="n"/>
      <c r="O9" s="43" t="n"/>
      <c r="P9" s="43" t="n"/>
      <c r="Q9" s="43" t="n"/>
      <c r="R9" s="43" t="n"/>
    </row>
    <row r="10">
      <c r="A10" s="43" t="inlineStr">
        <is>
          <t>دراسة الجدوى وخطة التعدين والمخططات الهندسية</t>
        </is>
      </c>
      <c r="B10" s="43" t="inlineStr">
        <is>
          <t>مكتب استشاري</t>
        </is>
      </c>
      <c r="C10" s="10" t="n">
        <v>1</v>
      </c>
      <c r="D10" s="10" t="n">
        <v>2</v>
      </c>
      <c r="E10" s="41">
        <f>IF($D10&gt;0,EDATE(StartDate,$C10-1),"")</f>
        <v>46388</v>
      </c>
      <c r="F10" s="41">
        <f>IF($D10&gt;0,EDATE(StartDate,$C10-1+$D10)-1,"")</f>
        <v>46446</v>
      </c>
      <c r="G10" s="43" t="n"/>
      <c r="H10" s="43" t="n"/>
      <c r="I10" s="43" t="n"/>
      <c r="J10" s="43" t="n"/>
      <c r="K10" s="43" t="n"/>
      <c r="L10" s="43" t="n"/>
      <c r="M10" s="43" t="n"/>
      <c r="N10" s="43" t="n"/>
      <c r="O10" s="43" t="n"/>
      <c r="P10" s="43" t="n"/>
      <c r="Q10" s="43" t="n"/>
      <c r="R10" s="43" t="n"/>
    </row>
    <row r="11">
      <c r="A11" s="43" t="inlineStr">
        <is>
          <t>دراسة الأثر البيئي والتصريح البيئي للتعدين</t>
        </is>
      </c>
      <c r="B11" s="43" t="inlineStr">
        <is>
          <t>هيئة البيئة</t>
        </is>
      </c>
      <c r="C11" s="10" t="n">
        <v>2</v>
      </c>
      <c r="D11" s="10" t="n">
        <v>3</v>
      </c>
      <c r="E11" s="41">
        <f>IF($D11&gt;0,EDATE(StartDate,$C11-1),"")</f>
        <v>46419</v>
      </c>
      <c r="F11" s="41">
        <f>IF($D11&gt;0,EDATE(StartDate,$C11-1+$D11)-1,"")</f>
        <v>46507</v>
      </c>
      <c r="G11" s="43" t="n"/>
      <c r="H11" s="43" t="n"/>
      <c r="I11" s="43" t="n"/>
      <c r="J11" s="43" t="n"/>
      <c r="K11" s="43" t="n"/>
      <c r="L11" s="43" t="n"/>
      <c r="M11" s="43" t="n"/>
      <c r="N11" s="43" t="n"/>
      <c r="O11" s="43" t="n"/>
      <c r="P11" s="43" t="n"/>
      <c r="Q11" s="43" t="n"/>
      <c r="R11" s="43" t="n"/>
    </row>
    <row r="12">
      <c r="A12" s="43" t="inlineStr">
        <is>
          <t>طلب ترخيص التعدين وموافقات الجهات المختصة</t>
        </is>
      </c>
      <c r="B12" s="43" t="inlineStr">
        <is>
          <t>وزارة الطاقة والمعادن</t>
        </is>
      </c>
      <c r="C12" s="10" t="n">
        <v>3</v>
      </c>
      <c r="D12" s="10" t="n">
        <v>4</v>
      </c>
      <c r="E12" s="41">
        <f>IF($D12&gt;0,EDATE(StartDate,$C12-1),"")</f>
        <v>46447</v>
      </c>
      <c r="F12" s="41">
        <f>IF($D12&gt;0,EDATE(StartDate,$C12-1+$D12)-1,"")</f>
        <v>46568</v>
      </c>
      <c r="G12" s="43" t="n"/>
      <c r="H12" s="43" t="n"/>
      <c r="I12" s="43" t="n"/>
      <c r="J12" s="43" t="n"/>
      <c r="K12" s="43" t="n"/>
      <c r="L12" s="43" t="n"/>
      <c r="M12" s="43" t="n"/>
      <c r="N12" s="43" t="n"/>
      <c r="O12" s="43" t="n"/>
      <c r="P12" s="43" t="n"/>
      <c r="Q12" s="43" t="n"/>
      <c r="R12" s="43" t="n"/>
    </row>
    <row r="13">
      <c r="A13" s="43" t="inlineStr">
        <is>
          <t>تقديم الضمانات البنكية</t>
        </is>
      </c>
      <c r="B13" s="43" t="inlineStr">
        <is>
          <t>البنك / وزارة الطاقة والمعادن / هيئة البيئة</t>
        </is>
      </c>
      <c r="C13" s="10" t="n">
        <v>6</v>
      </c>
      <c r="D13" s="10" t="n">
        <v>1</v>
      </c>
      <c r="E13" s="41">
        <f>IF($D13&gt;0,EDATE(StartDate,$C13-1),"")</f>
        <v>46539</v>
      </c>
      <c r="F13" s="41">
        <f>IF($D13&gt;0,EDATE(StartDate,$C13-1+$D13)-1,"")</f>
        <v>46568</v>
      </c>
      <c r="G13" s="43" t="n"/>
      <c r="H13" s="43" t="n"/>
      <c r="I13" s="43" t="n"/>
      <c r="J13" s="43" t="n"/>
      <c r="K13" s="43" t="n"/>
      <c r="L13" s="43" t="n"/>
      <c r="M13" s="43" t="n"/>
      <c r="N13" s="43" t="n"/>
      <c r="O13" s="43" t="n"/>
      <c r="P13" s="43" t="n"/>
      <c r="Q13" s="43" t="n"/>
      <c r="R13" s="43" t="n"/>
    </row>
    <row r="14">
      <c r="A14" s="43" t="inlineStr">
        <is>
          <t>الترخيص البلدي</t>
        </is>
      </c>
      <c r="B14" s="43" t="inlineStr">
        <is>
          <t>بلدية شمال الشرقية</t>
        </is>
      </c>
      <c r="C14" s="10" t="n">
        <v>6</v>
      </c>
      <c r="D14" s="10" t="n">
        <v>1</v>
      </c>
      <c r="E14" s="41">
        <f>IF($D14&gt;0,EDATE(StartDate,$C14-1),"")</f>
        <v>46539</v>
      </c>
      <c r="F14" s="41">
        <f>IF($D14&gt;0,EDATE(StartDate,$C14-1+$D14)-1,"")</f>
        <v>46568</v>
      </c>
      <c r="G14" s="43" t="n"/>
      <c r="H14" s="43" t="n"/>
      <c r="I14" s="43" t="n"/>
      <c r="J14" s="43" t="n"/>
      <c r="K14" s="43" t="n"/>
      <c r="L14" s="43" t="n"/>
      <c r="M14" s="43" t="n"/>
      <c r="N14" s="43" t="n"/>
      <c r="O14" s="43" t="n"/>
      <c r="P14" s="43" t="n"/>
      <c r="Q14" s="43" t="n"/>
      <c r="R14" s="43" t="n"/>
    </row>
    <row r="15">
      <c r="A15" s="15" t="inlineStr">
        <is>
          <t>المرحلة الثانية — التمويل والتجهيز</t>
        </is>
      </c>
      <c r="B15" s="15" t="n"/>
      <c r="C15" s="15" t="n"/>
      <c r="D15" s="15" t="n"/>
      <c r="E15" s="40" t="str">
        <f>IF($D15&gt;0,EDATE(StartDate,$C15-1),"")</f>
        <v/>
      </c>
      <c r="F15" s="40" t="str">
        <f>IF($D15&gt;0,EDATE(StartDate,$C15-1+$D15)-1,"")</f>
        <v/>
      </c>
      <c r="G15" s="42" t="n"/>
      <c r="H15" s="42" t="n"/>
      <c r="I15" s="42" t="n"/>
      <c r="J15" s="42" t="n"/>
      <c r="K15" s="42" t="n"/>
      <c r="L15" s="42" t="n"/>
      <c r="M15" s="42" t="n"/>
      <c r="N15" s="42" t="n"/>
      <c r="O15" s="42" t="n"/>
      <c r="P15" s="42" t="n"/>
      <c r="Q15" s="42" t="n"/>
      <c r="R15" s="42" t="n"/>
    </row>
    <row r="16">
      <c r="A16" s="43" t="inlineStr">
        <is>
          <t>اعتماد التمويل وتوقيع عقد القرض</t>
        </is>
      </c>
      <c r="B16" s="43" t="inlineStr">
        <is>
          <t>الجهة الممولة</t>
        </is>
      </c>
      <c r="C16" s="10" t="n">
        <v>5</v>
      </c>
      <c r="D16" s="10" t="n">
        <v>2</v>
      </c>
      <c r="E16" s="41">
        <f>IF($D16&gt;0,EDATE(StartDate,$C16-1),"")</f>
        <v>46508</v>
      </c>
      <c r="F16" s="41">
        <f>IF($D16&gt;0,EDATE(StartDate,$C16-1+$D16)-1,"")</f>
        <v>46568</v>
      </c>
      <c r="G16" s="43" t="n"/>
      <c r="H16" s="43" t="n"/>
      <c r="I16" s="43" t="n"/>
      <c r="J16" s="43" t="n"/>
      <c r="K16" s="43" t="n"/>
      <c r="L16" s="43" t="n"/>
      <c r="M16" s="43" t="n"/>
      <c r="N16" s="43" t="n"/>
      <c r="O16" s="43" t="n"/>
      <c r="P16" s="43" t="n"/>
      <c r="Q16" s="43" t="n"/>
      <c r="R16" s="43" t="n"/>
    </row>
    <row r="17">
      <c r="A17" s="43" t="inlineStr">
        <is>
          <t>التعاقد على بيع وتسويق الخام</t>
        </is>
      </c>
      <c r="B17" s="43" t="inlineStr">
        <is>
          <t>شركة متاجرة المعادن / مشترون محليون</t>
        </is>
      </c>
      <c r="C17" s="10" t="n">
        <v>6</v>
      </c>
      <c r="D17" s="10" t="n">
        <v>2</v>
      </c>
      <c r="E17" s="41">
        <f>IF($D17&gt;0,EDATE(StartDate,$C17-1),"")</f>
        <v>46539</v>
      </c>
      <c r="F17" s="41">
        <f>IF($D17&gt;0,EDATE(StartDate,$C17-1+$D17)-1,"")</f>
        <v>46599</v>
      </c>
      <c r="G17" s="43" t="n"/>
      <c r="H17" s="43" t="n"/>
      <c r="I17" s="43" t="n"/>
      <c r="J17" s="43" t="n"/>
      <c r="K17" s="43" t="n"/>
      <c r="L17" s="43" t="n"/>
      <c r="M17" s="43" t="n"/>
      <c r="N17" s="43" t="n"/>
      <c r="O17" s="43" t="n"/>
      <c r="P17" s="43" t="n"/>
      <c r="Q17" s="43" t="n"/>
      <c r="R17" s="43" t="n"/>
    </row>
    <row r="18">
      <c r="A18" s="43" t="inlineStr">
        <is>
          <t>استئجار السكن والمكتب وموقع التجميع</t>
        </is>
      </c>
      <c r="B18" s="43" t="inlineStr">
        <is>
          <t>3 مواقع</t>
        </is>
      </c>
      <c r="C18" s="10" t="n">
        <v>7</v>
      </c>
      <c r="D18" s="10" t="n">
        <v>1</v>
      </c>
      <c r="E18" s="41">
        <f>IF($D18&gt;0,EDATE(StartDate,$C18-1),"")</f>
        <v>46569</v>
      </c>
      <c r="F18" s="41">
        <f>IF($D18&gt;0,EDATE(StartDate,$C18-1+$D18)-1,"")</f>
        <v>46599</v>
      </c>
      <c r="G18" s="43" t="n"/>
      <c r="H18" s="43" t="n"/>
      <c r="I18" s="43" t="n"/>
      <c r="J18" s="43" t="n"/>
      <c r="K18" s="43" t="n"/>
      <c r="L18" s="43" t="n"/>
      <c r="M18" s="43" t="n"/>
      <c r="N18" s="43" t="n"/>
      <c r="O18" s="43" t="n"/>
      <c r="P18" s="43" t="n"/>
      <c r="Q18" s="43" t="n"/>
      <c r="R18" s="43" t="n"/>
    </row>
    <row r="19">
      <c r="A19" s="43" t="inlineStr">
        <is>
          <t>توظيف الكادر العُماني</t>
        </is>
      </c>
      <c r="B19" s="43" t="inlineStr">
        <is>
          <t>مدير، محاسب، جيولوجي، مشرفان، سائق، 4 حراس</t>
        </is>
      </c>
      <c r="C19" s="10" t="n">
        <v>7</v>
      </c>
      <c r="D19" s="10" t="n">
        <v>2</v>
      </c>
      <c r="E19" s="41">
        <f>IF($D19&gt;0,EDATE(StartDate,$C19-1),"")</f>
        <v>46569</v>
      </c>
      <c r="F19" s="41">
        <f>IF($D19&gt;0,EDATE(StartDate,$C19-1+$D19)-1,"")</f>
        <v>46630</v>
      </c>
      <c r="G19" s="43" t="n"/>
      <c r="H19" s="43" t="n"/>
      <c r="I19" s="43" t="n"/>
      <c r="J19" s="43" t="n"/>
      <c r="K19" s="43" t="n"/>
      <c r="L19" s="43" t="n"/>
      <c r="M19" s="43" t="n"/>
      <c r="N19" s="43" t="n"/>
      <c r="O19" s="43" t="n"/>
      <c r="P19" s="43" t="n"/>
      <c r="Q19" s="43" t="n"/>
      <c r="R19" s="43" t="n"/>
    </row>
    <row r="20">
      <c r="A20" s="43" t="inlineStr">
        <is>
          <t>استخراج مأذونيات العمالة الوافدة والتأشيرات</t>
        </is>
      </c>
      <c r="B20" s="43" t="str">
        <f>"وزارة العمل / شرطة عُمان السلطانية — "&amp;'الموارد البشرية'!B21&amp;" عاملاً"</f>
        <v>وزارة العمل / شرطة عُمان السلطانية — 8 عاملاً</v>
      </c>
      <c r="C20" s="10" t="n">
        <v>7</v>
      </c>
      <c r="D20" s="10" t="n">
        <v>2</v>
      </c>
      <c r="E20" s="41">
        <f>IF($D20&gt;0,EDATE(StartDate,$C20-1),"")</f>
        <v>46569</v>
      </c>
      <c r="F20" s="41">
        <f>IF($D20&gt;0,EDATE(StartDate,$C20-1+$D20)-1,"")</f>
        <v>46630</v>
      </c>
      <c r="G20" s="43" t="n"/>
      <c r="H20" s="43" t="n"/>
      <c r="I20" s="43" t="n"/>
      <c r="J20" s="43" t="n"/>
      <c r="K20" s="43" t="n"/>
      <c r="L20" s="43" t="n"/>
      <c r="M20" s="43" t="n"/>
      <c r="N20" s="43" t="n"/>
      <c r="O20" s="43" t="n"/>
      <c r="P20" s="43" t="n"/>
      <c r="Q20" s="43" t="n"/>
      <c r="R20" s="43" t="n"/>
    </row>
    <row r="21">
      <c r="A21" s="43" t="inlineStr">
        <is>
          <t>شراء الشيول والقلاب والبيك أب</t>
        </is>
      </c>
      <c r="B21" s="43" t="inlineStr">
        <is>
          <t>معدات مملوكة</t>
        </is>
      </c>
      <c r="C21" s="10" t="n">
        <v>7</v>
      </c>
      <c r="D21" s="10" t="n">
        <v>2</v>
      </c>
      <c r="E21" s="41">
        <f>IF($D21&gt;0,EDATE(StartDate,$C21-1),"")</f>
        <v>46569</v>
      </c>
      <c r="F21" s="41">
        <f>IF($D21&gt;0,EDATE(StartDate,$C21-1+$D21)-1,"")</f>
        <v>46630</v>
      </c>
      <c r="G21" s="43" t="n"/>
      <c r="H21" s="43" t="n"/>
      <c r="I21" s="43" t="n"/>
      <c r="J21" s="43" t="n"/>
      <c r="K21" s="43" t="n"/>
      <c r="L21" s="43" t="n"/>
      <c r="M21" s="43" t="n"/>
      <c r="N21" s="43" t="n"/>
      <c r="O21" s="43" t="n"/>
      <c r="P21" s="43" t="n"/>
      <c r="Q21" s="43" t="n"/>
      <c r="R21" s="43" t="n"/>
    </row>
    <row r="22">
      <c r="A22" s="43" t="inlineStr">
        <is>
          <t>شراء معدات الأمن والسلامة والأجهزة والأثاث</t>
        </is>
      </c>
      <c r="B22" s="43" t="inlineStr">
        <is>
          <t>—</t>
        </is>
      </c>
      <c r="C22" s="10" t="n">
        <v>8</v>
      </c>
      <c r="D22" s="10" t="n">
        <v>1</v>
      </c>
      <c r="E22" s="41">
        <f>IF($D22&gt;0,EDATE(StartDate,$C22-1),"")</f>
        <v>46600</v>
      </c>
      <c r="F22" s="41">
        <f>IF($D22&gt;0,EDATE(StartDate,$C22-1+$D22)-1,"")</f>
        <v>46630</v>
      </c>
      <c r="G22" s="43" t="n"/>
      <c r="H22" s="43" t="n"/>
      <c r="I22" s="43" t="n"/>
      <c r="J22" s="43" t="n"/>
      <c r="K22" s="43" t="n"/>
      <c r="L22" s="43" t="n"/>
      <c r="M22" s="43" t="n"/>
      <c r="N22" s="43" t="n"/>
      <c r="O22" s="43" t="n"/>
      <c r="P22" s="43" t="n"/>
      <c r="Q22" s="43" t="n"/>
      <c r="R22" s="43" t="n"/>
    </row>
    <row r="23">
      <c r="A23" s="43" t="inlineStr">
        <is>
          <t>التعاقد على استئجار الحفارات والمولد</t>
        </is>
      </c>
      <c r="B23" s="43" t="inlineStr">
        <is>
          <t>5 حفارات بالساعة شاملة المشغل والديزل + مولد</t>
        </is>
      </c>
      <c r="C23" s="10" t="n">
        <v>9</v>
      </c>
      <c r="D23" s="10" t="n">
        <v>1</v>
      </c>
      <c r="E23" s="41">
        <f>IF($D23&gt;0,EDATE(StartDate,$C23-1),"")</f>
        <v>46631</v>
      </c>
      <c r="F23" s="41">
        <f>IF($D23&gt;0,EDATE(StartDate,$C23-1+$D23)-1,"")</f>
        <v>46660</v>
      </c>
      <c r="G23" s="43" t="n"/>
      <c r="H23" s="43" t="n"/>
      <c r="I23" s="43" t="n"/>
      <c r="J23" s="43" t="n"/>
      <c r="K23" s="43" t="n"/>
      <c r="L23" s="43" t="n"/>
      <c r="M23" s="43" t="n"/>
      <c r="N23" s="43" t="n"/>
      <c r="O23" s="43" t="n"/>
      <c r="P23" s="43" t="n"/>
      <c r="Q23" s="43" t="n"/>
      <c r="R23" s="43" t="n"/>
    </row>
    <row r="24">
      <c r="A24" s="15" t="inlineStr">
        <is>
          <t>المرحلة الثالثة — تأهيل الموقع</t>
        </is>
      </c>
      <c r="B24" s="15" t="n"/>
      <c r="C24" s="15" t="n"/>
      <c r="D24" s="15" t="n"/>
      <c r="E24" s="40" t="str">
        <f>IF($D24&gt;0,EDATE(StartDate,$C24-1),"")</f>
        <v/>
      </c>
      <c r="F24" s="40" t="str">
        <f>IF($D24&gt;0,EDATE(StartDate,$C24-1+$D24)-1,"")</f>
        <v/>
      </c>
      <c r="G24" s="42" t="n"/>
      <c r="H24" s="42" t="n"/>
      <c r="I24" s="42" t="n"/>
      <c r="J24" s="42" t="n"/>
      <c r="K24" s="42" t="n"/>
      <c r="L24" s="42" t="n"/>
      <c r="M24" s="42" t="n"/>
      <c r="N24" s="42" t="n"/>
      <c r="O24" s="42" t="n"/>
      <c r="P24" s="42" t="n"/>
      <c r="Q24" s="42" t="n"/>
      <c r="R24" s="42" t="n"/>
    </row>
    <row r="25">
      <c r="A25" s="43" t="inlineStr">
        <is>
          <t>تأهيل الطريق المؤدي إلى الموقع</t>
        </is>
      </c>
      <c r="B25" s="43" t="inlineStr">
        <is>
          <t>—</t>
        </is>
      </c>
      <c r="C25" s="10" t="n">
        <v>8</v>
      </c>
      <c r="D25" s="10" t="n">
        <v>1</v>
      </c>
      <c r="E25" s="41">
        <f>IF($D25&gt;0,EDATE(StartDate,$C25-1),"")</f>
        <v>46600</v>
      </c>
      <c r="F25" s="41">
        <f>IF($D25&gt;0,EDATE(StartDate,$C25-1+$D25)-1,"")</f>
        <v>46630</v>
      </c>
      <c r="G25" s="43" t="n"/>
      <c r="H25" s="43" t="n"/>
      <c r="I25" s="43" t="n"/>
      <c r="J25" s="43" t="n"/>
      <c r="K25" s="43" t="n"/>
      <c r="L25" s="43" t="n"/>
      <c r="M25" s="43" t="n"/>
      <c r="N25" s="43" t="n"/>
      <c r="O25" s="43" t="n"/>
      <c r="P25" s="43" t="n"/>
      <c r="Q25" s="43" t="n"/>
      <c r="R25" s="43" t="n"/>
    </row>
    <row r="26">
      <c r="A26" s="43" t="inlineStr">
        <is>
          <t>تجهيز الموقع وإزالة الغطاء الصخري (التعرية الأولية)</t>
        </is>
      </c>
      <c r="B26" s="43" t="inlineStr">
        <is>
          <t>—</t>
        </is>
      </c>
      <c r="C26" s="10" t="n">
        <v>8</v>
      </c>
      <c r="D26" s="10" t="n">
        <v>2</v>
      </c>
      <c r="E26" s="41">
        <f>IF($D26&gt;0,EDATE(StartDate,$C26-1),"")</f>
        <v>46600</v>
      </c>
      <c r="F26" s="41">
        <f>IF($D26&gt;0,EDATE(StartDate,$C26-1+$D26)-1,"")</f>
        <v>46660</v>
      </c>
      <c r="G26" s="43" t="n"/>
      <c r="H26" s="43" t="n"/>
      <c r="I26" s="43" t="n"/>
      <c r="J26" s="43" t="n"/>
      <c r="K26" s="43" t="n"/>
      <c r="L26" s="43" t="n"/>
      <c r="M26" s="43" t="n"/>
      <c r="N26" s="43" t="n"/>
      <c r="O26" s="43" t="n"/>
      <c r="P26" s="43" t="n"/>
      <c r="Q26" s="43" t="n"/>
      <c r="R26" s="43" t="n"/>
    </row>
    <row r="27">
      <c r="A27" s="15" t="inlineStr">
        <is>
          <t>المرحلة الرابعة — الإنتاج</t>
        </is>
      </c>
      <c r="B27" s="15" t="n"/>
      <c r="C27" s="15" t="n"/>
      <c r="D27" s="15" t="n"/>
      <c r="E27" s="40" t="str">
        <f>IF($D27&gt;0,EDATE(StartDate,$C27-1),"")</f>
        <v/>
      </c>
      <c r="F27" s="40" t="str">
        <f>IF($D27&gt;0,EDATE(StartDate,$C27-1+$D27)-1,"")</f>
        <v/>
      </c>
      <c r="G27" s="42" t="n"/>
      <c r="H27" s="42" t="n"/>
      <c r="I27" s="42" t="n"/>
      <c r="J27" s="42" t="n"/>
      <c r="K27" s="42" t="n"/>
      <c r="L27" s="42" t="n"/>
      <c r="M27" s="42" t="n"/>
      <c r="N27" s="42" t="n"/>
      <c r="O27" s="42" t="n"/>
      <c r="P27" s="42" t="n"/>
      <c r="Q27" s="42" t="n"/>
      <c r="R27" s="42" t="n"/>
    </row>
    <row r="28">
      <c r="A28" s="32" t="inlineStr">
        <is>
          <t>الإنتاج التجريبي ثم التجاري (بداية السنة الأولى في الدراسة)</t>
        </is>
      </c>
      <c r="B28" s="43" t="inlineStr">
        <is>
          <t>بيع أولى الشحنات</t>
        </is>
      </c>
      <c r="C28" s="10" t="n">
        <v>10</v>
      </c>
      <c r="D28" s="10" t="n">
        <v>3</v>
      </c>
      <c r="E28" s="41">
        <f>IF($D28&gt;0,EDATE(StartDate,$C28-1),"")</f>
        <v>46661</v>
      </c>
      <c r="F28" s="41">
        <f>IF($D28&gt;0,EDATE(StartDate,$C28-1+$D28)-1,"")</f>
        <v>46752</v>
      </c>
      <c r="G28" s="43" t="n"/>
      <c r="H28" s="43" t="n"/>
      <c r="I28" s="43" t="n"/>
      <c r="J28" s="43" t="n"/>
      <c r="K28" s="43" t="n"/>
      <c r="L28" s="43" t="n"/>
      <c r="M28" s="43" t="n"/>
      <c r="N28" s="43" t="n"/>
      <c r="O28" s="43" t="n"/>
      <c r="P28" s="43" t="n"/>
      <c r="Q28" s="43" t="n"/>
      <c r="R28" s="43" t="n"/>
    </row>
    <row r="30">
      <c r="A30" s="32" t="inlineStr">
        <is>
          <t>مدة التأسيس حتى بدء الإنتاج</t>
        </is>
      </c>
      <c r="C30" s="13">
        <f>C28-1</f>
        <v>9</v>
      </c>
      <c r="D30" s="7" t="inlineStr">
        <is>
          <t>شهر</t>
        </is>
      </c>
    </row>
    <row r="31">
      <c r="A31" s="5" t="inlineStr">
        <is>
          <t>ملاحظة: مدة إصدار ترخيص التعدين تتفاوت كثيراً بحسب موافقات الجهات المختصة — يُنصح بهامش زمني إضافي عند الالتزام مع الممولين والمورّدين.</t>
        </is>
      </c>
    </row>
  </sheetData>
  <conditionalFormatting sqref="G6:R28">
    <cfRule type="expression" priority="1" dxfId="8" stopIfTrue="1">
      <formula>AND($D6&gt;0,G$4&gt;=$C6,G$4&lt;$C6+$D6)</formula>
    </cfRule>
  </conditionalFormatting>
  <pageMargins left="0.3888888888888889" right="0.3888888888888889" top="0.5" bottom="0.5" header="0.3" footer="0.3"/>
  <pageSetup orientation="landscape" paperSize="9" scale="67" fitToHeight="0" verticalDpi="0"/>
  <headerFooter>
    <oddHeader/>
    <oddFooter>&amp;C&amp;P / &amp;N</oddFooter>
    <evenHeader/>
    <evenFooter/>
    <firstHeader/>
    <firstFooter/>
  </headerFooter>
</worksheet>
</file>

<file path=xl/worksheets/sheet9.xml><?xml version="1.0" encoding="utf-8"?>
<worksheet xmlns="http://schemas.openxmlformats.org/spreadsheetml/2006/main">
  <sheetPr>
    <tabColor rgb="FF833C0B"/>
    <outlinePr summaryBelow="1" summaryRight="1"/>
    <pageSetUpPr fitToPage="1"/>
  </sheetPr>
  <dimension ref="A1:I24"/>
  <sheetViews>
    <sheetView showGridLines="0" rightToLeft="1" zoomScale="90" zoomScaleNormal="90" workbookViewId="0">
      <selection activeCell="A1" sqref="A1"/>
    </sheetView>
  </sheetViews>
  <sheetFormatPr baseColWidth="8" defaultRowHeight="12.75"/>
  <cols>
    <col width="48.7109375" customWidth="1" style="1" min="1" max="1"/>
    <col width="12.7109375" customWidth="1" style="1" min="2" max="2"/>
    <col width="14.7109375" customWidth="1" style="1" min="3" max="14"/>
    <col width="9.140625" customWidth="1" style="1" min="15" max="16384"/>
  </cols>
  <sheetData>
    <row r="1" ht="20.25" customHeight="1">
      <c r="A1" s="3" t="inlineStr">
        <is>
          <t>الأصول الثابتة وجدول الإهلاك</t>
        </is>
      </c>
    </row>
    <row r="2">
      <c r="A2" s="5" t="inlineStr">
        <is>
          <t>إهلاك بطريقة القسط الثابت. الحفارات مستأجرة بالساعة (انظر «الإيجارات»)؛ الشيول والقلاب والبيك أب مملوكة</t>
        </is>
      </c>
    </row>
    <row r="4">
      <c r="A4" s="6" t="inlineStr">
        <is>
          <t>الأصل</t>
        </is>
      </c>
      <c r="B4" s="6" t="inlineStr">
        <is>
          <t>العدد</t>
        </is>
      </c>
      <c r="C4" s="6" t="inlineStr">
        <is>
          <t>سعر الوحدة (ر.ع)</t>
        </is>
      </c>
      <c r="D4" s="6" t="inlineStr">
        <is>
          <t>التكلفة الإجمالية</t>
        </is>
      </c>
      <c r="E4" s="6" t="inlineStr">
        <is>
          <t>العمر الإنتاجي (سنة)</t>
        </is>
      </c>
      <c r="F4" s="6" t="inlineStr">
        <is>
          <t>القيمة التخريدية %</t>
        </is>
      </c>
      <c r="G4" s="6" t="inlineStr">
        <is>
          <t>يُستبدل عند انتهاء العمر (1 = نعم)</t>
        </is>
      </c>
      <c r="H4" s="6" t="inlineStr">
        <is>
          <t>الإهلاك السنوي</t>
        </is>
      </c>
      <c r="I4" s="6" t="inlineStr">
        <is>
          <t>المصدر / ملاحظات</t>
        </is>
      </c>
    </row>
    <row r="5">
      <c r="A5" s="43" t="inlineStr">
        <is>
          <t>شيول (لودر بعجلات)</t>
        </is>
      </c>
      <c r="B5" s="10" t="n">
        <v>1</v>
      </c>
      <c r="C5" s="10" t="n">
        <v>50000</v>
      </c>
      <c r="D5" s="11">
        <f>B5*C5*F_Capex</f>
        <v>50000</v>
      </c>
      <c r="E5" s="10" t="n">
        <v>7</v>
      </c>
      <c r="F5" s="26" t="n">
        <v>0.15</v>
      </c>
      <c r="G5" s="10" t="n">
        <v>0</v>
      </c>
      <c r="H5" s="11">
        <f>IF(E5&gt;0,D5*(1-F5)/E5,0)</f>
        <v>6071.42857142857</v>
      </c>
      <c r="I5" s="5" t="inlineStr">
        <is>
          <t>شراء بقرار المالك — السعر افتراض يُؤكَّد بعروض الوكلاء</t>
        </is>
      </c>
    </row>
    <row r="6">
      <c r="A6" s="43" t="inlineStr">
        <is>
          <t>قلاب (تيبر) لنقل الخام</t>
        </is>
      </c>
      <c r="B6" s="10" t="n">
        <v>1</v>
      </c>
      <c r="C6" s="10" t="n">
        <v>32000</v>
      </c>
      <c r="D6" s="11">
        <f>B6*C6*F_Capex</f>
        <v>32000</v>
      </c>
      <c r="E6" s="10" t="n">
        <v>7</v>
      </c>
      <c r="F6" s="26" t="n">
        <v>0.15</v>
      </c>
      <c r="G6" s="10" t="n">
        <v>0</v>
      </c>
      <c r="H6" s="11">
        <f>IF(E6&gt;0,D6*(1-F6)/E6,0)</f>
        <v>3885.71428571429</v>
      </c>
      <c r="I6" s="5" t="inlineStr">
        <is>
          <t>شراء بقرار المالك — السعر افتراض يُؤكَّد بعروض الوكلاء</t>
        </is>
      </c>
    </row>
    <row r="7">
      <c r="A7" s="43" t="inlineStr">
        <is>
          <t>سيارة بيك أب دفع رباعي</t>
        </is>
      </c>
      <c r="B7" s="10" t="n">
        <v>1</v>
      </c>
      <c r="C7" s="10" t="n">
        <v>11000</v>
      </c>
      <c r="D7" s="11">
        <f>B7*C7*F_Capex</f>
        <v>11000</v>
      </c>
      <c r="E7" s="10" t="n">
        <v>5</v>
      </c>
      <c r="F7" s="26" t="n">
        <v>0.2</v>
      </c>
      <c r="G7" s="10" t="n">
        <v>0</v>
      </c>
      <c r="H7" s="11">
        <f>IF(E7&gt;0,D7*(1-F7)/E7,0)</f>
        <v>1760</v>
      </c>
      <c r="I7" s="5" t="inlineStr">
        <is>
          <t>شراء بقرار المالك — السعر افتراض يُؤكَّد بعرض</t>
        </is>
      </c>
    </row>
    <row r="8">
      <c r="A8" s="43" t="inlineStr">
        <is>
          <t>أثاث وتجهيزات المكتب والسكن</t>
        </is>
      </c>
      <c r="B8" s="10" t="n">
        <v>1</v>
      </c>
      <c r="C8" s="10" t="n">
        <v>4000</v>
      </c>
      <c r="D8" s="11">
        <f>B8*C8*F_Capex</f>
        <v>4000</v>
      </c>
      <c r="E8" s="10" t="n">
        <v>5</v>
      </c>
      <c r="F8" s="26" t="n">
        <v>0</v>
      </c>
      <c r="G8" s="10" t="n">
        <v>0</v>
      </c>
      <c r="H8" s="11">
        <f>IF(E8&gt;0,D8*(1-F8)/E8,0)</f>
        <v>800</v>
      </c>
      <c r="I8" s="5" t="inlineStr">
        <is>
          <t>4,000 من الدراسة الأصلية</t>
        </is>
      </c>
    </row>
    <row r="9">
      <c r="A9" s="43" t="inlineStr">
        <is>
          <t>معدات الأمن والسلامة والأجهزة</t>
        </is>
      </c>
      <c r="B9" s="10" t="n">
        <v>1</v>
      </c>
      <c r="C9" s="10" t="n">
        <v>3500</v>
      </c>
      <c r="D9" s="11">
        <f>B9*C9*F_Capex</f>
        <v>3500</v>
      </c>
      <c r="E9" s="10" t="n">
        <v>5</v>
      </c>
      <c r="F9" s="26" t="n">
        <v>0</v>
      </c>
      <c r="G9" s="10" t="n">
        <v>0</v>
      </c>
      <c r="H9" s="11">
        <f>IF(E9&gt;0,D9*(1-F9)/E9,0)</f>
        <v>700</v>
      </c>
      <c r="I9" s="5" t="inlineStr">
        <is>
          <t>افتراض يُؤكَّد بعرض سعر</t>
        </is>
      </c>
    </row>
    <row r="10">
      <c r="A10" s="32" t="inlineStr">
        <is>
          <t>إجمالي الأصول الثابتة</t>
        </is>
      </c>
      <c r="D10" s="12">
        <f>SUM(D5:D9)</f>
        <v>100500</v>
      </c>
      <c r="H10" s="12">
        <f>SUM(H5:H9)</f>
        <v>13217.1428571429</v>
      </c>
    </row>
    <row r="11">
      <c r="A11" s="43" t="inlineStr">
        <is>
          <t>منها: المعدات والمركبات المتحركة</t>
        </is>
      </c>
      <c r="D11" s="11">
        <f>SUM(D5:D7)</f>
        <v>93000</v>
      </c>
      <c r="I11" s="5" t="inlineStr">
        <is>
          <t>أساس احتساب الصيانة والتأمين</t>
        </is>
      </c>
    </row>
    <row r="13">
      <c r="A13" s="6" t="inlineStr">
        <is>
          <t>جدول الإهلاك والاستبدال</t>
        </is>
      </c>
      <c r="B13" s="6" t="inlineStr">
        <is>
          <t>الوحدة</t>
        </is>
      </c>
      <c r="C13" s="36" t="n">
        <v>0</v>
      </c>
      <c r="D13" s="37" t="n">
        <v>1</v>
      </c>
      <c r="E13" s="37" t="n">
        <v>2</v>
      </c>
      <c r="F13" s="37" t="n">
        <v>3</v>
      </c>
      <c r="G13" s="37" t="n">
        <v>4</v>
      </c>
      <c r="H13" s="37" t="n">
        <v>5</v>
      </c>
      <c r="I13" s="6" t="inlineStr">
        <is>
          <t>الإجمالي</t>
        </is>
      </c>
    </row>
    <row r="14">
      <c r="A14" s="43" t="inlineStr">
        <is>
          <t>إهلاك شيول (لودر بعجلات)</t>
        </is>
      </c>
      <c r="B14" s="7" t="inlineStr">
        <is>
          <t>ر.ع</t>
        </is>
      </c>
      <c r="D14" s="11">
        <f>IF(OR(D$13&lt;=$E$5,$G$5=1),$H$5,0)</f>
        <v>6071.42857142857</v>
      </c>
      <c r="E14" s="11">
        <f>IF(OR(E$13&lt;=$E$5,$G$5=1),$H$5,0)</f>
        <v>6071.42857142857</v>
      </c>
      <c r="F14" s="11">
        <f>IF(OR(F$13&lt;=$E$5,$G$5=1),$H$5,0)</f>
        <v>6071.42857142857</v>
      </c>
      <c r="G14" s="11">
        <f>IF(OR(G$13&lt;=$E$5,$G$5=1),$H$5,0)</f>
        <v>6071.42857142857</v>
      </c>
      <c r="H14" s="11">
        <f>IF(OR(H$13&lt;=$E$5,$G$5=1),$H$5,0)</f>
        <v>6071.42857142857</v>
      </c>
      <c r="I14" s="12">
        <f>SUM(D14:H14)</f>
        <v>30357.1428571429</v>
      </c>
    </row>
    <row r="15">
      <c r="A15" s="43" t="inlineStr">
        <is>
          <t>إهلاك قلاب (تيبر) لنقل الخام</t>
        </is>
      </c>
      <c r="B15" s="7" t="inlineStr">
        <is>
          <t>ر.ع</t>
        </is>
      </c>
      <c r="D15" s="11">
        <f>IF(OR(D$13&lt;=$E$6,$G$6=1),$H$6,0)</f>
        <v>3885.71428571429</v>
      </c>
      <c r="E15" s="11">
        <f>IF(OR(E$13&lt;=$E$6,$G$6=1),$H$6,0)</f>
        <v>3885.71428571429</v>
      </c>
      <c r="F15" s="11">
        <f>IF(OR(F$13&lt;=$E$6,$G$6=1),$H$6,0)</f>
        <v>3885.71428571429</v>
      </c>
      <c r="G15" s="11">
        <f>IF(OR(G$13&lt;=$E$6,$G$6=1),$H$6,0)</f>
        <v>3885.71428571429</v>
      </c>
      <c r="H15" s="11">
        <f>IF(OR(H$13&lt;=$E$6,$G$6=1),$H$6,0)</f>
        <v>3885.71428571429</v>
      </c>
      <c r="I15" s="12">
        <f>SUM(D15:H15)</f>
        <v>19428.5714285714</v>
      </c>
    </row>
    <row r="16">
      <c r="A16" s="43" t="inlineStr">
        <is>
          <t>إهلاك سيارة بيك أب دفع رباعي</t>
        </is>
      </c>
      <c r="B16" s="7" t="inlineStr">
        <is>
          <t>ر.ع</t>
        </is>
      </c>
      <c r="D16" s="11">
        <f>IF(OR(D$13&lt;=$E$7,$G$7=1),$H$7,0)</f>
        <v>1760</v>
      </c>
      <c r="E16" s="11">
        <f>IF(OR(E$13&lt;=$E$7,$G$7=1),$H$7,0)</f>
        <v>1760</v>
      </c>
      <c r="F16" s="11">
        <f>IF(OR(F$13&lt;=$E$7,$G$7=1),$H$7,0)</f>
        <v>1760</v>
      </c>
      <c r="G16" s="11">
        <f>IF(OR(G$13&lt;=$E$7,$G$7=1),$H$7,0)</f>
        <v>1760</v>
      </c>
      <c r="H16" s="11">
        <f>IF(OR(H$13&lt;=$E$7,$G$7=1),$H$7,0)</f>
        <v>1760</v>
      </c>
      <c r="I16" s="12">
        <f>SUM(D16:H16)</f>
        <v>8800</v>
      </c>
    </row>
    <row r="17">
      <c r="A17" s="43" t="inlineStr">
        <is>
          <t>إهلاك أثاث وتجهيزات المكتب والسكن</t>
        </is>
      </c>
      <c r="B17" s="7" t="inlineStr">
        <is>
          <t>ر.ع</t>
        </is>
      </c>
      <c r="D17" s="11">
        <f>IF(OR(D$13&lt;=$E$8,$G$8=1),$H$8,0)</f>
        <v>800</v>
      </c>
      <c r="E17" s="11">
        <f>IF(OR(E$13&lt;=$E$8,$G$8=1),$H$8,0)</f>
        <v>800</v>
      </c>
      <c r="F17" s="11">
        <f>IF(OR(F$13&lt;=$E$8,$G$8=1),$H$8,0)</f>
        <v>800</v>
      </c>
      <c r="G17" s="11">
        <f>IF(OR(G$13&lt;=$E$8,$G$8=1),$H$8,0)</f>
        <v>800</v>
      </c>
      <c r="H17" s="11">
        <f>IF(OR(H$13&lt;=$E$8,$G$8=1),$H$8,0)</f>
        <v>800</v>
      </c>
      <c r="I17" s="12">
        <f>SUM(D17:H17)</f>
        <v>4000</v>
      </c>
    </row>
    <row r="18">
      <c r="A18" s="43" t="inlineStr">
        <is>
          <t>إهلاك معدات الأمن والسلامة والأجهزة</t>
        </is>
      </c>
      <c r="B18" s="7" t="inlineStr">
        <is>
          <t>ر.ع</t>
        </is>
      </c>
      <c r="D18" s="11">
        <f>IF(OR(D$13&lt;=$E$9,$G$9=1),$H$9,0)</f>
        <v>700</v>
      </c>
      <c r="E18" s="11">
        <f>IF(OR(E$13&lt;=$E$9,$G$9=1),$H$9,0)</f>
        <v>700</v>
      </c>
      <c r="F18" s="11">
        <f>IF(OR(F$13&lt;=$E$9,$G$9=1),$H$9,0)</f>
        <v>700</v>
      </c>
      <c r="G18" s="11">
        <f>IF(OR(G$13&lt;=$E$9,$G$9=1),$H$9,0)</f>
        <v>700</v>
      </c>
      <c r="H18" s="11">
        <f>IF(OR(H$13&lt;=$E$9,$G$9=1),$H$9,0)</f>
        <v>700</v>
      </c>
      <c r="I18" s="12">
        <f>SUM(D18:H18)</f>
        <v>3500</v>
      </c>
    </row>
    <row r="19">
      <c r="A19" s="32" t="inlineStr">
        <is>
          <t>إجمالي الإهلاك السنوي</t>
        </is>
      </c>
      <c r="B19" s="7" t="inlineStr">
        <is>
          <t>ر.ع</t>
        </is>
      </c>
      <c r="D19" s="12">
        <f>SUM(D14:D18)</f>
        <v>13217.1428571429</v>
      </c>
      <c r="E19" s="12">
        <f>SUM(E14:E18)</f>
        <v>13217.1428571429</v>
      </c>
      <c r="F19" s="12">
        <f>SUM(F14:F18)</f>
        <v>13217.1428571429</v>
      </c>
      <c r="G19" s="12">
        <f>SUM(G14:G18)</f>
        <v>13217.1428571429</v>
      </c>
      <c r="H19" s="12">
        <f>SUM(H14:H18)</f>
        <v>13217.1428571429</v>
      </c>
      <c r="I19" s="12">
        <f>SUM(D19:H19)</f>
        <v>66085.7142857143</v>
      </c>
    </row>
    <row r="20">
      <c r="A20" s="43" t="inlineStr">
        <is>
          <t>استبدال الأصول (نفقات رأسمالية)</t>
        </is>
      </c>
      <c r="B20" s="7" t="inlineStr">
        <is>
          <t>ر.ع</t>
        </is>
      </c>
      <c r="D20" s="11">
        <f>IF(AND($G$5=1,D$13=$E$5+1),$D$5,0)+IF(AND($G$6=1,D$13=$E$6+1),$D$6,0)+IF(AND($G$7=1,D$13=$E$7+1),$D$7,0)+IF(AND($G$8=1,D$13=$E$8+1),$D$8,0)+IF(AND($G$9=1,D$13=$E$9+1),$D$9,0)</f>
        <v>0</v>
      </c>
      <c r="E20" s="11">
        <f>IF(AND($G$5=1,E$13=$E$5+1),$D$5,0)+IF(AND($G$6=1,E$13=$E$6+1),$D$6,0)+IF(AND($G$7=1,E$13=$E$7+1),$D$7,0)+IF(AND($G$8=1,E$13=$E$8+1),$D$8,0)+IF(AND($G$9=1,E$13=$E$9+1),$D$9,0)</f>
        <v>0</v>
      </c>
      <c r="F20" s="11">
        <f>IF(AND($G$5=1,F$13=$E$5+1),$D$5,0)+IF(AND($G$6=1,F$13=$E$6+1),$D$6,0)+IF(AND($G$7=1,F$13=$E$7+1),$D$7,0)+IF(AND($G$8=1,F$13=$E$8+1),$D$8,0)+IF(AND($G$9=1,F$13=$E$9+1),$D$9,0)</f>
        <v>0</v>
      </c>
      <c r="G20" s="11">
        <f>IF(AND($G$5=1,G$13=$E$5+1),$D$5,0)+IF(AND($G$6=1,G$13=$E$6+1),$D$6,0)+IF(AND($G$7=1,G$13=$E$7+1),$D$7,0)+IF(AND($G$8=1,G$13=$E$8+1),$D$8,0)+IF(AND($G$9=1,G$13=$E$9+1),$D$9,0)</f>
        <v>0</v>
      </c>
      <c r="H20" s="11">
        <f>IF(AND($G$5=1,H$13=$E$5+1),$D$5,0)+IF(AND($G$6=1,H$13=$E$6+1),$D$6,0)+IF(AND($G$7=1,H$13=$E$7+1),$D$7,0)+IF(AND($G$8=1,H$13=$E$8+1),$D$8,0)+IF(AND($G$9=1,H$13=$E$9+1),$D$9,0)</f>
        <v>0</v>
      </c>
      <c r="I20" s="12">
        <f>SUM(D20:H20)</f>
        <v>0</v>
      </c>
    </row>
    <row r="21">
      <c r="A21" s="43" t="inlineStr">
        <is>
          <t>الأصول بالتكلفة (تراكمي)</t>
        </is>
      </c>
      <c r="B21" s="7" t="inlineStr">
        <is>
          <t>ر.ع</t>
        </is>
      </c>
      <c r="C21" s="11">
        <f>D10</f>
        <v>100500</v>
      </c>
      <c r="D21" s="11">
        <f>C21+D20</f>
        <v>100500</v>
      </c>
      <c r="E21" s="11">
        <f>D21+E20</f>
        <v>100500</v>
      </c>
      <c r="F21" s="11">
        <f>E21+F20</f>
        <v>100500</v>
      </c>
      <c r="G21" s="11">
        <f>F21+G20</f>
        <v>100500</v>
      </c>
      <c r="H21" s="11">
        <f>G21+H20</f>
        <v>100500</v>
      </c>
    </row>
    <row r="22">
      <c r="A22" s="43" t="inlineStr">
        <is>
          <t>مجمع الإهلاك</t>
        </is>
      </c>
      <c r="B22" s="7" t="inlineStr">
        <is>
          <t>ر.ع</t>
        </is>
      </c>
      <c r="C22" s="11" t="n">
        <v>0</v>
      </c>
      <c r="D22" s="11">
        <f>C22+D19</f>
        <v>13217.1428571429</v>
      </c>
      <c r="E22" s="11">
        <f>D22+E19</f>
        <v>26434.2857142857</v>
      </c>
      <c r="F22" s="11">
        <f>E22+F19</f>
        <v>39651.4285714286</v>
      </c>
      <c r="G22" s="11">
        <f>F22+G19</f>
        <v>52868.5714285714</v>
      </c>
      <c r="H22" s="11">
        <f>G22+H19</f>
        <v>66085.7142857143</v>
      </c>
    </row>
    <row r="23">
      <c r="A23" s="43" t="inlineStr">
        <is>
          <t>صافي القيمة الدفترية آخر السنة</t>
        </is>
      </c>
      <c r="B23" s="7" t="inlineStr">
        <is>
          <t>ر.ع</t>
        </is>
      </c>
      <c r="C23" s="11">
        <f>C21-C22</f>
        <v>100500</v>
      </c>
      <c r="D23" s="11">
        <f>D21-D22</f>
        <v>87282.8571428571</v>
      </c>
      <c r="E23" s="11">
        <f>E21-E22</f>
        <v>74065.7142857143</v>
      </c>
      <c r="F23" s="11">
        <f>F21-F22</f>
        <v>60848.5714285714</v>
      </c>
      <c r="G23" s="11">
        <f>G21-G22</f>
        <v>47631.4285714286</v>
      </c>
      <c r="H23" s="11">
        <f>H21-H22</f>
        <v>34414.2857142857</v>
      </c>
    </row>
    <row r="24">
      <c r="A24" s="5" t="inlineStr">
        <is>
          <t>صافي القيمة الدفترية في نهاية السنة الخامسة يُدرج كقيمة تخريدية في التدفقات النقدية.</t>
        </is>
      </c>
    </row>
  </sheetData>
  <pageMargins left="0.3888888888888889" right="0.3888888888888889" top="0.5" bottom="0.5" header="0.3" footer="0.3"/>
  <pageSetup orientation="landscape" paperSize="9" scale="59" fitToHeight="0" verticalDpi="0"/>
  <headerFooter>
    <oddHeader/>
    <oddFooter>&amp;C&amp;P / &amp;N</oddFooter>
    <evenHeader/>
    <evenFooter/>
    <firstHeader/>
    <firstFooter/>
  </headerFooter>
</worksheet>
</file>

<file path=xl/worksheets/sheet10.xml><?xml version="1.0" encoding="utf-8"?>
<worksheet xmlns="http://schemas.openxmlformats.org/spreadsheetml/2006/main">
  <sheetPr>
    <tabColor rgb="FF833C0B"/>
    <outlinePr summaryBelow="1" summaryRight="1"/>
    <pageSetUpPr fitToPage="1"/>
  </sheetPr>
  <dimension ref="A1:D13"/>
  <sheetViews>
    <sheetView showGridLines="0" rightToLeft="1" zoomScale="90" zoomScaleNormal="90" workbookViewId="0">
      <selection activeCell="A1" sqref="A1"/>
    </sheetView>
  </sheetViews>
  <sheetFormatPr baseColWidth="8" defaultRowHeight="12.75"/>
  <cols>
    <col width="62.7109375" customWidth="1" style="1" min="1" max="1"/>
    <col width="18.7109375" customWidth="1" style="1" min="2" max="2"/>
    <col width="20.7109375" customWidth="1" style="1" min="3" max="3"/>
    <col width="78.7109375" customWidth="1" style="1" min="4" max="4"/>
    <col width="9.140625" customWidth="1" style="1" min="5" max="16384"/>
  </cols>
  <sheetData>
    <row r="1" ht="20.25" customHeight="1">
      <c r="A1" s="3" t="inlineStr">
        <is>
          <t>مصاريف ما قبل التشغيل</t>
        </is>
      </c>
    </row>
    <row r="2">
      <c r="A2" s="5" t="inlineStr">
        <is>
          <t>تُرسمل وتُطفأ على سنوات التشغيل. الضمانات البنكية نُقلت إلى التكلفة الاستثمارية كوديعة مستردة</t>
        </is>
      </c>
    </row>
    <row r="4">
      <c r="A4" s="6" t="inlineStr">
        <is>
          <t>البيان</t>
        </is>
      </c>
      <c r="B4" s="6" t="inlineStr">
        <is>
          <t>القيمة (ر.ع)</t>
        </is>
      </c>
      <c r="C4" s="6" t="inlineStr">
        <is>
          <t>الحالة</t>
        </is>
      </c>
      <c r="D4" s="6" t="inlineStr">
        <is>
          <t>ملاحظات</t>
        </is>
      </c>
    </row>
    <row r="5">
      <c r="A5" s="43" t="inlineStr">
        <is>
          <t>رسوم التراخيص اللازمة للمشروع</t>
        </is>
      </c>
      <c r="B5" s="11">
        <f>LicFees</f>
        <v>8400</v>
      </c>
      <c r="C5" s="7" t="inlineStr">
        <is>
          <t>محتسب</t>
        </is>
      </c>
      <c r="D5" s="16" t="inlineStr">
        <is>
          <t>من ورقة «التراخيص» (كان رابطاً خارجياً مكسوراً يعطي صفراً في الملف الأصلي)</t>
        </is>
      </c>
    </row>
    <row r="6">
      <c r="A6" s="43" t="inlineStr">
        <is>
          <t>الاستشارات الإدارية والمالية والفنية</t>
        </is>
      </c>
      <c r="B6" s="10" t="n">
        <v>12200</v>
      </c>
      <c r="C6" s="7" t="inlineStr">
        <is>
          <t>من الدراسة الأصلية</t>
        </is>
      </c>
      <c r="D6" s="16" t="n"/>
    </row>
    <row r="7">
      <c r="A7" s="43" t="inlineStr">
        <is>
          <t>المخططات الهندسية والتصميمية</t>
        </is>
      </c>
      <c r="B7" s="10" t="n">
        <v>5600</v>
      </c>
      <c r="C7" s="7" t="inlineStr">
        <is>
          <t>من الدراسة الأصلية</t>
        </is>
      </c>
      <c r="D7" s="16" t="n"/>
    </row>
    <row r="8">
      <c r="A8" s="43" t="inlineStr">
        <is>
          <t>تكلفة مأذونيات استقدام العمالة الوافدة</t>
        </is>
      </c>
      <c r="B8" s="11">
        <f>PermitCost</f>
        <v>2028</v>
      </c>
      <c r="C8" s="7" t="inlineStr">
        <is>
          <t>محتسب</t>
        </is>
      </c>
      <c r="D8" s="16" t="inlineStr">
        <is>
          <t>من ورقة «الموارد البشرية» وفق رسوم وزارة العمل (الملف الأصلي ذكر 3,420 في ورقة و2,420 في أخرى)</t>
        </is>
      </c>
    </row>
    <row r="9">
      <c r="A9" s="43" t="inlineStr">
        <is>
          <t>مصاريف الاستكشاف وفتح الطريق والمعدات المدفوعة خلال السنوات الثلاث الماضية</t>
        </is>
      </c>
      <c r="B9" s="10" t="n">
        <v>200000</v>
      </c>
      <c r="C9" s="7" t="inlineStr">
        <is>
          <t>يحتاج تأكيداً</t>
        </is>
      </c>
      <c r="D9" s="16" t="inlineStr">
        <is>
          <t>الملف الأصلي ذكر 200,000 في ورقة و257,000 في أخرى — اعتُمد 200,000 ويجب تأكيد الرقم الصحيح بالمستندات</t>
        </is>
      </c>
    </row>
    <row r="10">
      <c r="A10" s="29" t="inlineStr">
        <is>
          <t>الإجمالي</t>
        </is>
      </c>
      <c r="B10" s="12">
        <f>SUM(B5:B9)</f>
        <v>228228</v>
      </c>
      <c r="C10" s="29" t="n"/>
      <c r="D10" s="29" t="n"/>
    </row>
    <row r="12">
      <c r="A12" s="43" t="inlineStr">
        <is>
          <t>مدة الإطفاء</t>
        </is>
      </c>
      <c r="B12" s="10" t="n">
        <v>5</v>
      </c>
      <c r="C12" s="7" t="inlineStr">
        <is>
          <t>سنة</t>
        </is>
      </c>
      <c r="D12" s="16" t="inlineStr">
        <is>
          <t>على مدة الدراسة (5 سنوات تشغيل)</t>
        </is>
      </c>
    </row>
    <row r="13">
      <c r="A13" s="43" t="inlineStr">
        <is>
          <t>الإطفاء السنوي</t>
        </is>
      </c>
      <c r="B13" s="11">
        <f>PreOp/AmortYrs</f>
        <v>45645.6</v>
      </c>
      <c r="C13" s="7" t="inlineStr">
        <is>
          <t>ر.ع / سنة</t>
        </is>
      </c>
      <c r="D13" s="16" t="n"/>
    </row>
  </sheetData>
  <pageMargins left="0.3888888888888889" right="0.3888888888888889" top="0.5" bottom="0.5" header="0.3" footer="0.3"/>
  <pageSetup orientation="landscape" paperSize="9" scale="78" fitToHeight="0" verticalDpi="0"/>
  <headerFooter>
    <oddHeader/>
    <oddFooter>&amp;C&amp;P / &amp;N</oddFooter>
    <evenHeader/>
    <evenFooter/>
    <firstHeader/>
    <firstFooter/>
  </headerFooter>
</worksheet>
</file>

<file path=xl/worksheets/sheet11.xml><?xml version="1.0" encoding="utf-8"?>
<worksheet xmlns="http://schemas.openxmlformats.org/spreadsheetml/2006/main">
  <sheetPr>
    <tabColor rgb="FF375623"/>
    <outlinePr summaryBelow="1" summaryRight="1"/>
    <pageSetUpPr fitToPage="1"/>
  </sheetPr>
  <dimension ref="A1:I42"/>
  <sheetViews>
    <sheetView showGridLines="0" rightToLeft="1" zoomScale="90" zoomScaleNormal="90" workbookViewId="0">
      <selection activeCell="A1" sqref="A1"/>
    </sheetView>
  </sheetViews>
  <sheetFormatPr baseColWidth="8" defaultRowHeight="12.75"/>
  <cols>
    <col width="36.7109375" customWidth="1" style="1" min="1" max="1"/>
    <col width="14.7109375" customWidth="1" style="1" min="2" max="3"/>
    <col width="10.7109375" customWidth="1" style="1" min="4" max="4"/>
    <col width="16.7109375" customWidth="1" style="1" min="5" max="5"/>
    <col width="18.7109375" customWidth="1" style="1" min="6" max="7"/>
    <col width="16.7109375" customWidth="1" style="1" min="8" max="8"/>
    <col width="62.7109375" customWidth="1" style="1" min="9" max="9"/>
    <col width="9.140625" customWidth="1" style="1" min="10" max="16384"/>
  </cols>
  <sheetData>
    <row r="1" ht="20.25" customHeight="1">
      <c r="A1" s="3" t="inlineStr">
        <is>
          <t>الموارد البشرية — الأجور والرواتب والتأمينات</t>
        </is>
      </c>
    </row>
    <row r="2">
      <c r="A2" s="5" t="inlineStr">
        <is>
          <t>الوظائف والأعداد والرواتب من الدراسة الأصلية (مع تصحيح راتب الحارس إلى الحد الأدنى للأجور)</t>
        </is>
      </c>
    </row>
    <row r="4">
      <c r="A4" s="6" t="inlineStr">
        <is>
          <t>الوظيفة</t>
        </is>
      </c>
      <c r="B4" s="6" t="inlineStr">
        <is>
          <t>الفئة</t>
        </is>
      </c>
      <c r="C4" s="6" t="inlineStr">
        <is>
          <t>الجنسية</t>
        </is>
      </c>
      <c r="D4" s="6" t="inlineStr">
        <is>
          <t>العدد</t>
        </is>
      </c>
      <c r="E4" s="6" t="inlineStr">
        <is>
          <t>الراتب الشهري (ر.ع)</t>
        </is>
      </c>
      <c r="F4" s="6" t="inlineStr">
        <is>
          <t>إجمالي الرواتب الشهرية</t>
        </is>
      </c>
      <c r="G4" s="6" t="inlineStr">
        <is>
          <t>الإجمالي السنوي</t>
        </is>
      </c>
      <c r="H4" s="6" t="inlineStr">
        <is>
          <t>فئة مأذونية العمل</t>
        </is>
      </c>
      <c r="I4" s="6" t="inlineStr">
        <is>
          <t>ملاحظات</t>
        </is>
      </c>
    </row>
    <row r="5">
      <c r="A5" s="43" t="inlineStr">
        <is>
          <t>مدير المشروع</t>
        </is>
      </c>
      <c r="B5" s="7" t="inlineStr">
        <is>
          <t>إدارية</t>
        </is>
      </c>
      <c r="C5" s="7" t="inlineStr">
        <is>
          <t>عماني</t>
        </is>
      </c>
      <c r="D5" s="10" t="n">
        <v>1</v>
      </c>
      <c r="E5" s="10" t="n">
        <v>1300</v>
      </c>
      <c r="F5" s="11">
        <f>D5*E5</f>
        <v>1300</v>
      </c>
      <c r="G5" s="11">
        <f>F5*12</f>
        <v>15600</v>
      </c>
      <c r="H5" s="10" t="n"/>
      <c r="I5" s="16" t="n"/>
    </row>
    <row r="6">
      <c r="A6" s="43" t="inlineStr">
        <is>
          <t>محاسب</t>
        </is>
      </c>
      <c r="B6" s="7" t="inlineStr">
        <is>
          <t>إدارية</t>
        </is>
      </c>
      <c r="C6" s="7" t="inlineStr">
        <is>
          <t>عماني</t>
        </is>
      </c>
      <c r="D6" s="10" t="n">
        <v>1</v>
      </c>
      <c r="E6" s="10" t="n">
        <v>500</v>
      </c>
      <c r="F6" s="11">
        <f>D6*E6</f>
        <v>500</v>
      </c>
      <c r="G6" s="11">
        <f>F6*12</f>
        <v>6000</v>
      </c>
      <c r="H6" s="10" t="n"/>
      <c r="I6" s="16" t="n"/>
    </row>
    <row r="7">
      <c r="A7" s="43" t="inlineStr">
        <is>
          <t>سائق</t>
        </is>
      </c>
      <c r="B7" s="7" t="inlineStr">
        <is>
          <t>إدارية</t>
        </is>
      </c>
      <c r="C7" s="7" t="inlineStr">
        <is>
          <t>عماني</t>
        </is>
      </c>
      <c r="D7" s="10" t="n">
        <v>1</v>
      </c>
      <c r="E7" s="10" t="n">
        <v>350</v>
      </c>
      <c r="F7" s="11">
        <f>D7*E7</f>
        <v>350</v>
      </c>
      <c r="G7" s="11">
        <f>F7*12</f>
        <v>4200</v>
      </c>
      <c r="H7" s="10" t="n"/>
      <c r="I7" s="16" t="n"/>
    </row>
    <row r="8">
      <c r="A8" s="43" t="inlineStr">
        <is>
          <t>حارس</t>
        </is>
      </c>
      <c r="B8" s="7" t="inlineStr">
        <is>
          <t>إدارية</t>
        </is>
      </c>
      <c r="C8" s="7" t="inlineStr">
        <is>
          <t>عماني</t>
        </is>
      </c>
      <c r="D8" s="10" t="n">
        <v>4</v>
      </c>
      <c r="E8" s="10" t="n">
        <v>325</v>
      </c>
      <c r="F8" s="11">
        <f>D8*E8</f>
        <v>1300</v>
      </c>
      <c r="G8" s="11">
        <f>F8*12</f>
        <v>15600</v>
      </c>
      <c r="H8" s="10" t="n"/>
      <c r="I8" s="16" t="inlineStr">
        <is>
          <t>في الأصل 320 ر.ع — رُفع إلى الحد الأدنى للأجور 325 ر.ع</t>
        </is>
      </c>
    </row>
    <row r="9">
      <c r="A9" s="43" t="inlineStr">
        <is>
          <t>مهندس جيولوجي</t>
        </is>
      </c>
      <c r="B9" s="7" t="inlineStr">
        <is>
          <t>فنية</t>
        </is>
      </c>
      <c r="C9" s="7" t="inlineStr">
        <is>
          <t>عماني</t>
        </is>
      </c>
      <c r="D9" s="10" t="n">
        <v>1</v>
      </c>
      <c r="E9" s="10" t="n">
        <v>800</v>
      </c>
      <c r="F9" s="11">
        <f>D9*E9</f>
        <v>800</v>
      </c>
      <c r="G9" s="11">
        <f>F9*12</f>
        <v>9600</v>
      </c>
      <c r="H9" s="10" t="n"/>
      <c r="I9" s="16" t="n"/>
    </row>
    <row r="10">
      <c r="A10" s="43" t="inlineStr">
        <is>
          <t>مشرف الأمن والسلامة</t>
        </is>
      </c>
      <c r="B10" s="7" t="inlineStr">
        <is>
          <t>فنية</t>
        </is>
      </c>
      <c r="C10" s="7" t="inlineStr">
        <is>
          <t>عماني</t>
        </is>
      </c>
      <c r="D10" s="10" t="n">
        <v>1</v>
      </c>
      <c r="E10" s="10" t="n">
        <v>550</v>
      </c>
      <c r="F10" s="11">
        <f>D10*E10</f>
        <v>550</v>
      </c>
      <c r="G10" s="11">
        <f>F10*12</f>
        <v>6600</v>
      </c>
      <c r="H10" s="10" t="n"/>
      <c r="I10" s="16" t="n"/>
    </row>
    <row r="11">
      <c r="A11" s="43" t="inlineStr">
        <is>
          <t>مشرف عمليات</t>
        </is>
      </c>
      <c r="B11" s="7" t="inlineStr">
        <is>
          <t>فنية</t>
        </is>
      </c>
      <c r="C11" s="7" t="inlineStr">
        <is>
          <t>عماني</t>
        </is>
      </c>
      <c r="D11" s="10" t="n">
        <v>1</v>
      </c>
      <c r="E11" s="10" t="n">
        <v>450</v>
      </c>
      <c r="F11" s="11">
        <f>D11*E11</f>
        <v>450</v>
      </c>
      <c r="G11" s="11">
        <f>F11*12</f>
        <v>5400</v>
      </c>
      <c r="H11" s="10" t="n"/>
      <c r="I11" s="16" t="n"/>
    </row>
    <row r="12">
      <c r="A12" s="43" t="inlineStr">
        <is>
          <t>عامل فرز وتنقية الخام</t>
        </is>
      </c>
      <c r="B12" s="7" t="inlineStr">
        <is>
          <t>فنية</t>
        </is>
      </c>
      <c r="C12" s="7" t="inlineStr">
        <is>
          <t>وافد</t>
        </is>
      </c>
      <c r="D12" s="10" t="n">
        <v>5</v>
      </c>
      <c r="E12" s="10" t="n">
        <v>150</v>
      </c>
      <c r="F12" s="11">
        <f>D12*E12</f>
        <v>750</v>
      </c>
      <c r="G12" s="11">
        <f>F12*12</f>
        <v>9000</v>
      </c>
      <c r="H12" s="10" t="n">
        <v>3</v>
      </c>
      <c r="I12" s="16" t="inlineStr">
        <is>
          <t>ورد في الأصل باسم «عمال صقل أحجار»</t>
        </is>
      </c>
    </row>
    <row r="13">
      <c r="A13" s="43" t="inlineStr">
        <is>
          <t>مشغل حفار</t>
        </is>
      </c>
      <c r="B13" s="7" t="inlineStr">
        <is>
          <t>فنية</t>
        </is>
      </c>
      <c r="C13" s="7" t="inlineStr">
        <is>
          <t>وافد</t>
        </is>
      </c>
      <c r="D13" s="10" t="n">
        <v>0</v>
      </c>
      <c r="E13" s="10" t="n">
        <v>250</v>
      </c>
      <c r="F13" s="11">
        <f>D13*E13</f>
        <v>0</v>
      </c>
      <c r="G13" s="11">
        <f>F13*12</f>
        <v>0</v>
      </c>
      <c r="H13" s="10" t="n">
        <v>2</v>
      </c>
      <c r="I13" s="16" t="inlineStr">
        <is>
          <t>مشمولون في إيجار الحفارات بالساعة (شامل المشغل) — أبقي الصف للمرجعية</t>
        </is>
      </c>
    </row>
    <row r="14">
      <c r="A14" s="43" t="inlineStr">
        <is>
          <t>مشغل شيول</t>
        </is>
      </c>
      <c r="B14" s="7" t="inlineStr">
        <is>
          <t>فنية</t>
        </is>
      </c>
      <c r="C14" s="7" t="inlineStr">
        <is>
          <t>وافد</t>
        </is>
      </c>
      <c r="D14" s="10" t="n">
        <v>1</v>
      </c>
      <c r="E14" s="10" t="n">
        <v>250</v>
      </c>
      <c r="F14" s="11">
        <f>D14*E14</f>
        <v>250</v>
      </c>
      <c r="G14" s="11">
        <f>F14*12</f>
        <v>3000</v>
      </c>
      <c r="H14" s="10" t="n">
        <v>2</v>
      </c>
      <c r="I14" s="16" t="n"/>
    </row>
    <row r="15">
      <c r="A15" s="43" t="inlineStr">
        <is>
          <t>سائق قلاب (تيبر)</t>
        </is>
      </c>
      <c r="B15" s="7" t="inlineStr">
        <is>
          <t>فنية</t>
        </is>
      </c>
      <c r="C15" s="7" t="inlineStr">
        <is>
          <t>وافد</t>
        </is>
      </c>
      <c r="D15" s="10" t="n">
        <v>1</v>
      </c>
      <c r="E15" s="10" t="n">
        <v>250</v>
      </c>
      <c r="F15" s="11">
        <f>D15*E15</f>
        <v>250</v>
      </c>
      <c r="G15" s="11">
        <f>F15*12</f>
        <v>3000</v>
      </c>
      <c r="H15" s="10" t="n">
        <v>2</v>
      </c>
      <c r="I15" s="16" t="n"/>
    </row>
    <row r="16">
      <c r="A16" s="43" t="inlineStr">
        <is>
          <t>طباخ</t>
        </is>
      </c>
      <c r="B16" s="7" t="inlineStr">
        <is>
          <t>فنية</t>
        </is>
      </c>
      <c r="C16" s="7" t="inlineStr">
        <is>
          <t>وافد</t>
        </is>
      </c>
      <c r="D16" s="10" t="n">
        <v>1</v>
      </c>
      <c r="E16" s="10" t="n">
        <v>170</v>
      </c>
      <c r="F16" s="11">
        <f>D16*E16</f>
        <v>170</v>
      </c>
      <c r="G16" s="11">
        <f>F16*12</f>
        <v>2040</v>
      </c>
      <c r="H16" s="10" t="n">
        <v>3</v>
      </c>
      <c r="I16" s="16" t="n"/>
    </row>
    <row r="17">
      <c r="A17" s="29" t="inlineStr">
        <is>
          <t>الإجمالي</t>
        </is>
      </c>
      <c r="B17" s="29" t="n"/>
      <c r="C17" s="29" t="n"/>
      <c r="D17" s="12">
        <f>SUM(D5:D16)</f>
        <v>18</v>
      </c>
      <c r="E17" s="29" t="n"/>
      <c r="F17" s="12">
        <f>SUM(F5:F16)</f>
        <v>6670</v>
      </c>
      <c r="G17" s="12">
        <f>SUM(G5:G16)</f>
        <v>80040</v>
      </c>
      <c r="H17" s="29" t="n"/>
      <c r="I17" s="29" t="n"/>
    </row>
    <row r="19">
      <c r="A19" s="15" t="inlineStr">
        <is>
          <t>ثانياً: ملخص العمالة</t>
        </is>
      </c>
      <c r="B19" s="15" t="n"/>
      <c r="C19" s="15" t="n"/>
    </row>
    <row r="20">
      <c r="A20" s="43" t="inlineStr">
        <is>
          <t>عدد العُمانيين</t>
        </is>
      </c>
      <c r="B20" s="11">
        <f>SUMIF($C$5:$C$16,"عماني",$D$5:$D$16)</f>
        <v>10</v>
      </c>
      <c r="C20" s="7" t="inlineStr">
        <is>
          <t>عامل</t>
        </is>
      </c>
    </row>
    <row r="21">
      <c r="A21" s="43" t="inlineStr">
        <is>
          <t>عدد الوافدين</t>
        </is>
      </c>
      <c r="B21" s="11">
        <f>SUMIF($C$5:$C$16,"وافد",$D$5:$D$16)</f>
        <v>8</v>
      </c>
      <c r="C21" s="7" t="inlineStr">
        <is>
          <t>عامل</t>
        </is>
      </c>
    </row>
    <row r="22">
      <c r="A22" s="43" t="inlineStr">
        <is>
          <t>نسبة التعمين</t>
        </is>
      </c>
      <c r="B22" s="19">
        <f>B20/(B20+B21)</f>
        <v>0.555555555555556</v>
      </c>
      <c r="C22" s="7" t="inlineStr">
        <is>
          <t>%</t>
        </is>
      </c>
    </row>
    <row r="23">
      <c r="A23" s="43" t="inlineStr">
        <is>
          <t>رواتب العُمانيين السنوية</t>
        </is>
      </c>
      <c r="B23" s="11">
        <f>SUMIF($C$5:$C$16,"عماني",$G$5:$G$16)</f>
        <v>63000</v>
      </c>
      <c r="C23" s="7" t="inlineStr">
        <is>
          <t>ر.ع</t>
        </is>
      </c>
    </row>
    <row r="24">
      <c r="A24" s="43" t="inlineStr">
        <is>
          <t>رواتب الوافدين السنوية</t>
        </is>
      </c>
      <c r="B24" s="11">
        <f>SUMIF($C$5:$C$16,"وافد",$G$5:$G$16)</f>
        <v>17040</v>
      </c>
      <c r="C24" s="7" t="inlineStr">
        <is>
          <t>ر.ع</t>
        </is>
      </c>
    </row>
    <row r="25">
      <c r="A25" s="43" t="inlineStr">
        <is>
          <t>رواتب العمالة الإدارية السنوية</t>
        </is>
      </c>
      <c r="B25" s="11">
        <f>SUMIF($B$5:$B$16,"إدارية",$G$5:$G$16)</f>
        <v>41400</v>
      </c>
      <c r="C25" s="7" t="inlineStr">
        <is>
          <t>ر.ع</t>
        </is>
      </c>
    </row>
    <row r="26">
      <c r="A26" s="43" t="inlineStr">
        <is>
          <t>رواتب العمالة الفنية السنوية</t>
        </is>
      </c>
      <c r="B26" s="11">
        <f>SUMIF($B$5:$B$16,"فنية",$G$5:$G$16)</f>
        <v>38640</v>
      </c>
      <c r="C26" s="7" t="inlineStr">
        <is>
          <t>ر.ع</t>
        </is>
      </c>
    </row>
    <row r="27">
      <c r="A27" s="43" t="inlineStr">
        <is>
          <t>التحقق من الحد الأدنى لأجور العُمانيين</t>
        </is>
      </c>
      <c r="B27" s="32" t="str">
        <f>IF(COUNTIFS($C$5:$C$16,"عماني",$E$5:$E$16,"&lt;"&amp;MinWage)=0,"مطابق","يوجد راتب أقل من الحد الأدنى")</f>
        <v>مطابق</v>
      </c>
      <c r="C27" s="43" t="n"/>
    </row>
    <row r="29">
      <c r="A29" s="15" t="inlineStr">
        <is>
          <t>ثالثاً: التأمينات والاشتراكات السنوية على صاحب العمل</t>
        </is>
      </c>
      <c r="B29" s="15" t="n"/>
      <c r="C29" s="15" t="n"/>
    </row>
    <row r="30">
      <c r="A30" s="43" t="inlineStr">
        <is>
          <t>صندوق الحماية الاجتماعية — العُمانيون</t>
        </is>
      </c>
      <c r="B30" s="11">
        <f>B23*SPFOm</f>
        <v>9135</v>
      </c>
      <c r="C30" s="7" t="inlineStr">
        <is>
          <t>ر.ع</t>
        </is>
      </c>
    </row>
    <row r="31">
      <c r="A31" s="43" t="inlineStr">
        <is>
          <t>اشتراكات الحماية الاجتماعية — الوافدون</t>
        </is>
      </c>
      <c r="B31" s="11">
        <f>B24*SPFEx</f>
        <v>511.2</v>
      </c>
      <c r="C31" s="7" t="inlineStr">
        <is>
          <t>ر.ع</t>
        </is>
      </c>
    </row>
    <row r="32">
      <c r="A32" s="43" t="inlineStr">
        <is>
          <t>مخصص نهاية الخدمة / الادخار للوافدين</t>
        </is>
      </c>
      <c r="B32" s="11">
        <f>B24*EosRate</f>
        <v>1533.6</v>
      </c>
      <c r="C32" s="7" t="inlineStr">
        <is>
          <t>ر.ع</t>
        </is>
      </c>
    </row>
    <row r="33">
      <c r="A33" s="43" t="inlineStr">
        <is>
          <t>التأمين الصحي وتأمين العمال للوافدين</t>
        </is>
      </c>
      <c r="B33" s="11">
        <f>B21*ExpIns</f>
        <v>3200</v>
      </c>
      <c r="C33" s="7" t="inlineStr">
        <is>
          <t>ر.ع</t>
        </is>
      </c>
    </row>
    <row r="34">
      <c r="A34" s="29" t="inlineStr">
        <is>
          <t>إجمالي التأمينات والاشتراكات</t>
        </is>
      </c>
      <c r="B34" s="12">
        <f>SUM(B30:B33)</f>
        <v>14379.8</v>
      </c>
      <c r="C34" s="29" t="n"/>
    </row>
    <row r="35">
      <c r="A35" s="5" t="inlineStr">
        <is>
          <t>للمقارنة: الدراسة الأصلية قدّرت التأمينات بـ 7,880 ر.ع فقط (3,080 للعُمانيين — أقل من النسبة النظامية 14.5%).</t>
        </is>
      </c>
    </row>
    <row r="37">
      <c r="A37" s="15" t="inlineStr">
        <is>
          <t>رابعاً: مأذونيات العمل للوافدين</t>
        </is>
      </c>
      <c r="B37" s="15" t="n"/>
      <c r="C37" s="15" t="n"/>
    </row>
    <row r="38">
      <c r="A38" s="43" t="inlineStr">
        <is>
          <t>عدد مأذونيات الفئة الثانية</t>
        </is>
      </c>
      <c r="B38" s="11">
        <f>SUMIF($H$5:$H$16,2,$D$5:$D$16)</f>
        <v>2</v>
      </c>
      <c r="C38" s="7" t="inlineStr">
        <is>
          <t>مأذونية</t>
        </is>
      </c>
    </row>
    <row r="39">
      <c r="A39" s="43" t="inlineStr">
        <is>
          <t>عدد مأذونيات الفئة الثالثة</t>
        </is>
      </c>
      <c r="B39" s="11">
        <f>SUMIF($H$5:$H$16,3,$D$5:$D$16)</f>
        <v>6</v>
      </c>
      <c r="C39" s="7" t="inlineStr">
        <is>
          <t>مأذونية</t>
        </is>
      </c>
    </row>
    <row r="40">
      <c r="A40" s="43" t="inlineStr">
        <is>
          <t>رسوم المأذونيات (تتجدد كل سنتين)</t>
        </is>
      </c>
      <c r="B40" s="11">
        <f>B38*Permit2+B39*Permit3</f>
        <v>1708</v>
      </c>
      <c r="C40" s="7" t="inlineStr">
        <is>
          <t>ر.ع</t>
        </is>
      </c>
    </row>
    <row r="41">
      <c r="A41" s="43" t="inlineStr">
        <is>
          <t>مصاريف استقدام أخرى</t>
        </is>
      </c>
      <c r="B41" s="11">
        <f>B21*PermitOther</f>
        <v>320</v>
      </c>
      <c r="C41" s="7" t="inlineStr">
        <is>
          <t>ر.ع</t>
        </is>
      </c>
    </row>
    <row r="42">
      <c r="A42" s="29" t="inlineStr">
        <is>
          <t>إجمالي تكلفة الاستقدام الأولي</t>
        </is>
      </c>
      <c r="B42" s="12">
        <f>B40+B41</f>
        <v>2028</v>
      </c>
      <c r="C42" s="29" t="n"/>
    </row>
  </sheetData>
  <pageMargins left="0.3888888888888889" right="0.3888888888888889" top="0.5" bottom="0.5" header="0.3" footer="0.3"/>
  <pageSetup orientation="landscape" paperSize="9" scale="67" fitToHeight="0" verticalDpi="0"/>
  <headerFooter>
    <oddHeader/>
    <oddFooter>&amp;C&amp;P / &amp;N</oddFooter>
    <evenHeader/>
    <evenFooter/>
    <firstHeader/>
    <firstFooter/>
  </headerFooter>
</worksheet>
</file>

<file path=xl/worksheets/sheet12.xml><?xml version="1.0" encoding="utf-8"?>
<worksheet xmlns="http://schemas.openxmlformats.org/spreadsheetml/2006/main">
  <sheetPr>
    <tabColor rgb="FF375623"/>
    <outlinePr summaryBelow="1" summaryRight="1"/>
    <pageSetUpPr fitToPage="1"/>
  </sheetPr>
  <dimension ref="A1:F19"/>
  <sheetViews>
    <sheetView showGridLines="0" rightToLeft="1" zoomScale="90" zoomScaleNormal="90" workbookViewId="0">
      <selection activeCell="A1" sqref="A1"/>
    </sheetView>
  </sheetViews>
  <sheetFormatPr baseColWidth="8" defaultRowHeight="12.75"/>
  <cols>
    <col width="42.7109375" customWidth="1" style="1" min="1" max="1"/>
    <col width="10.7109375" customWidth="1" style="1" min="2" max="2"/>
    <col width="20.7109375" customWidth="1" style="1" min="3" max="3"/>
    <col width="14.7109375" customWidth="1" style="1" min="4" max="4"/>
    <col width="18.7109375" customWidth="1" style="1" min="5" max="5"/>
    <col width="70.7109375" customWidth="1" style="1" min="6" max="6"/>
    <col width="9.140625" customWidth="1" style="1" min="7" max="16384"/>
  </cols>
  <sheetData>
    <row r="1" ht="20.25" customHeight="1">
      <c r="A1" s="3" t="inlineStr">
        <is>
          <t>الإيجارات — المواقع والمعدات والمركبات</t>
        </is>
      </c>
    </row>
    <row r="2">
      <c r="A2" s="5" t="inlineStr">
        <is>
          <t>الحفارات مستأجرة بالساعة شاملة المعدة والمشغل والديزل؛ الشيول والقلاب والبيك أب مملوكة (انظر «الأصول والإهلاك»)</t>
        </is>
      </c>
    </row>
    <row r="4">
      <c r="A4" s="6" t="inlineStr">
        <is>
          <t>البند</t>
        </is>
      </c>
      <c r="B4" s="6" t="inlineStr">
        <is>
          <t>العدد</t>
        </is>
      </c>
      <c r="C4" s="6" t="inlineStr">
        <is>
          <t>الإيجار الشهري للوحدة (ر.ع)</t>
        </is>
      </c>
      <c r="D4" s="6" t="inlineStr">
        <is>
          <t>عدد الأشهر</t>
        </is>
      </c>
      <c r="E4" s="6" t="inlineStr">
        <is>
          <t>الإجمالي السنوي</t>
        </is>
      </c>
      <c r="F4" s="6" t="inlineStr">
        <is>
          <t>المصدر / ملاحظات</t>
        </is>
      </c>
    </row>
    <row r="5">
      <c r="A5" s="15" t="inlineStr">
        <is>
          <t>أولاً: إيجار المواقع</t>
        </is>
      </c>
      <c r="B5" s="15" t="n"/>
      <c r="C5" s="15" t="n"/>
      <c r="D5" s="15" t="n"/>
      <c r="E5" s="15" t="n"/>
      <c r="F5" s="15" t="n"/>
    </row>
    <row r="6">
      <c r="A6" s="43" t="inlineStr">
        <is>
          <t>سكن العمال</t>
        </is>
      </c>
      <c r="B6" s="10" t="n">
        <v>1</v>
      </c>
      <c r="C6" s="10" t="n">
        <v>200</v>
      </c>
      <c r="D6" s="10" t="n">
        <v>12</v>
      </c>
      <c r="E6" s="11">
        <f>B6*C6*D6</f>
        <v>2400</v>
      </c>
      <c r="F6" s="16" t="inlineStr">
        <is>
          <t>من الدراسة الأصلية</t>
        </is>
      </c>
    </row>
    <row r="7">
      <c r="A7" s="43" t="inlineStr">
        <is>
          <t>المكتب</t>
        </is>
      </c>
      <c r="B7" s="10" t="n">
        <v>1</v>
      </c>
      <c r="C7" s="10" t="n">
        <v>250</v>
      </c>
      <c r="D7" s="10" t="n">
        <v>12</v>
      </c>
      <c r="E7" s="11">
        <f>B7*C7*D7</f>
        <v>3000</v>
      </c>
      <c r="F7" s="16" t="inlineStr">
        <is>
          <t>من الدراسة الأصلية</t>
        </is>
      </c>
    </row>
    <row r="8">
      <c r="A8" s="43" t="inlineStr">
        <is>
          <t>موقع تجميع الخام</t>
        </is>
      </c>
      <c r="B8" s="10" t="n">
        <v>1</v>
      </c>
      <c r="C8" s="10" t="n">
        <v>400</v>
      </c>
      <c r="D8" s="10" t="n">
        <v>12</v>
      </c>
      <c r="E8" s="11">
        <f>B8*C8*D8</f>
        <v>4800</v>
      </c>
      <c r="F8" s="16" t="inlineStr">
        <is>
          <t>من الدراسة الأصلية</t>
        </is>
      </c>
    </row>
    <row r="9">
      <c r="A9" s="29" t="inlineStr">
        <is>
          <t>إجمالي إيجار المواقع السنوي</t>
        </is>
      </c>
      <c r="B9" s="29" t="n"/>
      <c r="C9" s="29" t="n"/>
      <c r="D9" s="29" t="n"/>
      <c r="E9" s="12">
        <f>SUM(E6:E8)</f>
        <v>10200</v>
      </c>
      <c r="F9" s="29" t="n"/>
    </row>
    <row r="10">
      <c r="A10" s="15" t="inlineStr">
        <is>
          <t>ثانياً: إيجار المعدات الشهري</t>
        </is>
      </c>
      <c r="B10" s="15" t="n"/>
      <c r="C10" s="15" t="n"/>
      <c r="D10" s="15" t="n"/>
      <c r="E10" s="15" t="n"/>
      <c r="F10" s="15" t="n"/>
    </row>
    <row r="11">
      <c r="A11" s="43" t="inlineStr">
        <is>
          <t>مولد كهرباء</t>
        </is>
      </c>
      <c r="B11" s="10" t="n">
        <v>1</v>
      </c>
      <c r="C11" s="10" t="n">
        <v>40</v>
      </c>
      <c r="D11" s="10" t="n">
        <v>12</v>
      </c>
      <c r="E11" s="11">
        <f>B11*C11*D11</f>
        <v>480</v>
      </c>
      <c r="F11" s="5" t="inlineStr">
        <is>
          <t>من الدراسة الأصلية</t>
        </is>
      </c>
    </row>
    <row r="12">
      <c r="A12" s="32" t="inlineStr">
        <is>
          <t>إجمالي إيجار المعدات الشهري السنوي</t>
        </is>
      </c>
      <c r="E12" s="12">
        <f>SUM(E11:E11)</f>
        <v>480</v>
      </c>
    </row>
    <row r="14">
      <c r="A14" s="15" t="inlineStr">
        <is>
          <t>ثالثاً: إيجار الحفارات بالساعة (شامل المعدة والمشغل والديزل)</t>
        </is>
      </c>
      <c r="B14" s="15" t="n"/>
      <c r="C14" s="15" t="n"/>
      <c r="D14" s="15" t="n"/>
      <c r="E14" s="15" t="n"/>
      <c r="F14" s="15" t="n"/>
    </row>
    <row r="15">
      <c r="A15" s="6" t="inlineStr">
        <is>
          <t>البند</t>
        </is>
      </c>
      <c r="B15" s="6" t="inlineStr">
        <is>
          <t>العدد</t>
        </is>
      </c>
      <c r="C15" s="6" t="inlineStr">
        <is>
          <t>أجرة الساعة (ر.ع)</t>
        </is>
      </c>
      <c r="D15" s="6" t="inlineStr">
        <is>
          <t>الساعات المجدولة للحفار سنوياً</t>
        </is>
      </c>
      <c r="E15" s="6" t="inlineStr">
        <is>
          <t>الإجمالي السنوي</t>
        </is>
      </c>
      <c r="F15" s="6" t="inlineStr">
        <is>
          <t>المصدر / ملاحظات</t>
        </is>
      </c>
    </row>
    <row r="16">
      <c r="A16" s="43" t="inlineStr">
        <is>
          <t>حفار مع مشغل وديزل</t>
        </is>
      </c>
      <c r="B16" s="11">
        <f>ExcavNo</f>
        <v>5</v>
      </c>
      <c r="C16" s="18">
        <f>HireRate</f>
        <v>12</v>
      </c>
      <c r="D16" s="11">
        <f>SchedHrs</f>
        <v>3120</v>
      </c>
      <c r="E16" s="12">
        <f>B16*C16*D16</f>
        <v>187200</v>
      </c>
      <c r="F16" s="5" t="inlineStr">
        <is>
          <t>معطى من المالك: 5 حفارات × 12 ر.ع/ساعة × 10 ساعات × 312 يوماً</t>
        </is>
      </c>
    </row>
    <row r="17">
      <c r="A17" s="5" t="inlineStr">
        <is>
          <t>قبل نسبة استغلال الطاقة وأعباء تتبع العروق — تُطبَّق سنوياً في «التكاليف التشغيلية» عبر ساعات الإيجار في «الخطة الفنية والإنتاج».</t>
        </is>
      </c>
    </row>
    <row r="19">
      <c r="A19" s="32" t="inlineStr">
        <is>
          <t>إجمالي الإيجارات السنوية (السنة الأولى، قبل الأعباء)</t>
        </is>
      </c>
      <c r="E19" s="13">
        <f>SiteRent+EquipRent+ExcavHire</f>
        <v>197880</v>
      </c>
    </row>
  </sheetData>
  <pageMargins left="0.3888888888888889" right="0.3888888888888889" top="0.5" bottom="0.5" header="0.3" footer="0.3"/>
  <pageSetup orientation="landscape" paperSize="9" scale="79" fitToHeight="0" verticalDpi="0"/>
  <headerFooter>
    <oddHeader/>
    <oddFooter>&amp;C&amp;P / &amp;N</oddFooter>
    <evenHeader/>
    <evenFooter/>
    <firstHeader/>
    <firstFooter/>
  </headerFooter>
</worksheet>
</file>

<file path=xl/worksheets/sheet13.xml><?xml version="1.0" encoding="utf-8"?>
<worksheet xmlns="http://schemas.openxmlformats.org/spreadsheetml/2006/main">
  <sheetPr>
    <tabColor rgb="FF375623"/>
    <outlinePr summaryBelow="1" summaryRight="1"/>
    <pageSetUpPr fitToPage="1"/>
  </sheetPr>
  <dimension ref="A1:H19"/>
  <sheetViews>
    <sheetView showGridLines="0" rightToLeft="1" zoomScale="90" zoomScaleNormal="90" workbookViewId="0">
      <selection activeCell="A1" sqref="A1"/>
    </sheetView>
  </sheetViews>
  <sheetFormatPr baseColWidth="8" defaultRowHeight="12.75"/>
  <cols>
    <col width="44.7109375" customWidth="1" style="1" min="1" max="1"/>
    <col width="16.7109375" customWidth="1" style="1" min="2" max="3"/>
    <col width="18.7109375" customWidth="1" style="1" min="4" max="6"/>
    <col width="12.7109375" customWidth="1" style="1" min="7" max="7"/>
    <col width="62.7109375" customWidth="1" style="1" min="8" max="8"/>
    <col width="9.140625" customWidth="1" style="1" min="9" max="16384"/>
  </cols>
  <sheetData>
    <row r="1" ht="20.25" customHeight="1">
      <c r="A1" s="3" t="inlineStr">
        <is>
          <t>الوقود والمواد المستهلكة (عند الطاقة الكاملة)</t>
        </is>
      </c>
    </row>
    <row r="2">
      <c r="A2" s="5" t="inlineStr">
        <is>
          <t>وقود الحفارات مشمول في إيجارها بالساعة. «متغير» يتناسب مع نسبة استغلال الطاقة وأعباء تتبع العروق و«ثابت» لا يتغير</t>
        </is>
      </c>
    </row>
    <row r="4">
      <c r="A4" s="6" t="inlineStr">
        <is>
          <t>المعدة / البند</t>
        </is>
      </c>
      <c r="B4" s="6" t="inlineStr">
        <is>
          <t>العدد / الأساس</t>
        </is>
      </c>
      <c r="C4" s="6" t="inlineStr">
        <is>
          <t>المعدل</t>
        </is>
      </c>
      <c r="D4" s="6" t="inlineStr">
        <is>
          <t>ساعات التشغيل السنوية</t>
        </is>
      </c>
      <c r="E4" s="6" t="inlineStr">
        <is>
          <t>الكمية السنوية (لتر)</t>
        </is>
      </c>
      <c r="F4" s="6" t="inlineStr">
        <is>
          <t>التكلفة السنوية (ر.ع)</t>
        </is>
      </c>
      <c r="G4" s="6" t="inlineStr">
        <is>
          <t>النوع</t>
        </is>
      </c>
      <c r="H4" s="6" t="inlineStr">
        <is>
          <t>ملاحظات</t>
        </is>
      </c>
    </row>
    <row r="5">
      <c r="A5" s="15" t="inlineStr">
        <is>
          <t>أولاً: الوقود (ديزل) للمعدات المملوكة والمولد — المعدل باللتر في الساعة</t>
        </is>
      </c>
      <c r="B5" s="15" t="n"/>
      <c r="C5" s="15" t="n"/>
      <c r="D5" s="15" t="n"/>
      <c r="E5" s="15" t="n"/>
      <c r="F5" s="15" t="n"/>
      <c r="G5" s="15" t="n"/>
      <c r="H5" s="15" t="n"/>
    </row>
    <row r="6">
      <c r="A6" s="43" t="inlineStr">
        <is>
          <t>شيول</t>
        </is>
      </c>
      <c r="B6" s="11">
        <f>'الأصول والإهلاك'!B5</f>
        <v>1</v>
      </c>
      <c r="C6" s="10" t="n">
        <v>16</v>
      </c>
      <c r="D6" s="11">
        <f>OpHours</f>
        <v>2340</v>
      </c>
      <c r="E6" s="11">
        <f>B6*C6*D6</f>
        <v>37440</v>
      </c>
      <c r="F6" s="11">
        <f>E6*DieselPrice</f>
        <v>9659.52</v>
      </c>
      <c r="G6" s="7" t="inlineStr">
        <is>
          <t>متغير</t>
        </is>
      </c>
      <c r="H6" s="5" t="inlineStr">
        <is>
          <t>معدل الاستهلاك افتراض يُراجَع من بيانات الشركة المصنّعة</t>
        </is>
      </c>
    </row>
    <row r="7">
      <c r="A7" s="43" t="inlineStr">
        <is>
          <t>قلاب</t>
        </is>
      </c>
      <c r="B7" s="11">
        <f>'الأصول والإهلاك'!B6</f>
        <v>1</v>
      </c>
      <c r="C7" s="10" t="n">
        <v>10</v>
      </c>
      <c r="D7" s="11">
        <f>OpHours</f>
        <v>2340</v>
      </c>
      <c r="E7" s="11">
        <f>B7*C7*D7</f>
        <v>23400</v>
      </c>
      <c r="F7" s="11">
        <f>E7*DieselPrice</f>
        <v>6037.2</v>
      </c>
      <c r="G7" s="7" t="inlineStr">
        <is>
          <t>متغير</t>
        </is>
      </c>
    </row>
    <row r="8">
      <c r="A8" s="43" t="inlineStr">
        <is>
          <t>مولد كهرباء</t>
        </is>
      </c>
      <c r="B8" s="11">
        <f>الإيجارات!B11</f>
        <v>1</v>
      </c>
      <c r="C8" s="10" t="n">
        <v>3</v>
      </c>
      <c r="D8" s="10" t="n">
        <v>4380</v>
      </c>
      <c r="E8" s="11">
        <f>B8*C8*D8</f>
        <v>13140</v>
      </c>
      <c r="F8" s="11">
        <f>E8*DieselPrice</f>
        <v>3390.12</v>
      </c>
      <c r="G8" s="7" t="inlineStr">
        <is>
          <t>ثابت</t>
        </is>
      </c>
      <c r="H8" s="5" t="inlineStr">
        <is>
          <t>12 ساعة يومياً × 365 يوماً</t>
        </is>
      </c>
    </row>
    <row r="9">
      <c r="A9" s="43" t="inlineStr">
        <is>
          <t>سيارة بيك أب</t>
        </is>
      </c>
      <c r="B9" s="11">
        <f>'الأصول والإهلاك'!B7</f>
        <v>1</v>
      </c>
      <c r="C9" s="28" t="n">
        <v>1.25</v>
      </c>
      <c r="D9" s="11">
        <f>WorkDays*ShiftHrs</f>
        <v>3120</v>
      </c>
      <c r="E9" s="11">
        <f>B9*C9*D9</f>
        <v>3900</v>
      </c>
      <c r="F9" s="11">
        <f>E9*DieselPrice</f>
        <v>1006.2</v>
      </c>
      <c r="G9" s="7" t="inlineStr">
        <is>
          <t>ثابت</t>
        </is>
      </c>
      <c r="H9" s="5" t="inlineStr">
        <is>
          <t>نحو 12.5 لتراً يومياً</t>
        </is>
      </c>
    </row>
    <row r="10">
      <c r="A10" s="32" t="inlineStr">
        <is>
          <t>إجمالي الوقود</t>
        </is>
      </c>
      <c r="E10" s="12">
        <f>SUM(E6:E9)</f>
        <v>77880</v>
      </c>
      <c r="F10" s="12">
        <f>SUM(F6:F9)</f>
        <v>20093.04</v>
      </c>
    </row>
    <row r="11">
      <c r="A11" s="15" t="inlineStr">
        <is>
          <t>ثانياً: مواد ومستلزمات أخرى</t>
        </is>
      </c>
      <c r="B11" s="15" t="n"/>
      <c r="C11" s="15" t="n"/>
      <c r="D11" s="15" t="n"/>
      <c r="E11" s="15" t="n"/>
      <c r="F11" s="15" t="n"/>
      <c r="G11" s="15" t="n"/>
      <c r="H11" s="15" t="n"/>
    </row>
    <row r="12">
      <c r="A12" s="43" t="inlineStr">
        <is>
          <t>زيوت وشحوم وفلاتر</t>
        </is>
      </c>
      <c r="B12" s="7" t="inlineStr">
        <is>
          <t>% من الوقود</t>
        </is>
      </c>
      <c r="C12" s="26" t="n">
        <v>0.1</v>
      </c>
      <c r="F12" s="11">
        <f>C12*F10</f>
        <v>2009.304</v>
      </c>
      <c r="G12" s="7" t="inlineStr">
        <is>
          <t>متغير</t>
        </is>
      </c>
      <c r="H12" s="5" t="inlineStr">
        <is>
          <t>افتراض. قطع استهلاك الكسارات والأسنان مشمولة في إيجار الحفارات</t>
        </is>
      </c>
    </row>
    <row r="13">
      <c r="A13" s="43" t="inlineStr">
        <is>
          <t>إطارات (شيول، قلاب، بيك أب)</t>
        </is>
      </c>
      <c r="B13" s="7" t="inlineStr">
        <is>
          <t>ر.ع / سنة</t>
        </is>
      </c>
      <c r="C13" s="10" t="n">
        <v>3600</v>
      </c>
      <c r="F13" s="11">
        <f>C13</f>
        <v>3600</v>
      </c>
      <c r="G13" s="7" t="inlineStr">
        <is>
          <t>متغير</t>
        </is>
      </c>
      <c r="H13" s="5" t="inlineStr">
        <is>
          <t>افتراض</t>
        </is>
      </c>
    </row>
    <row r="14">
      <c r="A14" s="43" t="inlineStr">
        <is>
          <t>مستلزمات السلامة والوقاية الشخصية</t>
        </is>
      </c>
      <c r="B14" s="7" t="inlineStr">
        <is>
          <t>ر.ع / سنة</t>
        </is>
      </c>
      <c r="C14" s="10" t="n">
        <v>1500</v>
      </c>
      <c r="F14" s="11">
        <f>C14</f>
        <v>1500</v>
      </c>
      <c r="G14" s="7" t="inlineStr">
        <is>
          <t>ثابت</t>
        </is>
      </c>
      <c r="H14" s="5" t="inlineStr">
        <is>
          <t>افتراض</t>
        </is>
      </c>
    </row>
    <row r="15">
      <c r="A15" s="43" t="inlineStr">
        <is>
          <t>مياه (صهاريج) للموقع والسكن</t>
        </is>
      </c>
      <c r="B15" s="7" t="inlineStr">
        <is>
          <t>ر.ع / شهر</t>
        </is>
      </c>
      <c r="C15" s="10" t="n">
        <v>250</v>
      </c>
      <c r="F15" s="11">
        <f>C15*12</f>
        <v>3000</v>
      </c>
      <c r="G15" s="7" t="inlineStr">
        <is>
          <t>ثابت</t>
        </is>
      </c>
      <c r="H15" s="5" t="inlineStr">
        <is>
          <t>افتراض</t>
        </is>
      </c>
    </row>
    <row r="16">
      <c r="A16" s="43" t="inlineStr">
        <is>
          <t>تموين وإعاشة العمالة الوافدة</t>
        </is>
      </c>
      <c r="B16" s="7" t="inlineStr">
        <is>
          <t>ر.ع / عامل / شهر</t>
        </is>
      </c>
      <c r="C16" s="10" t="n">
        <v>25</v>
      </c>
      <c r="F16" s="11">
        <f>C16*12*'الموارد البشرية'!B21</f>
        <v>2400</v>
      </c>
      <c r="G16" s="7" t="inlineStr">
        <is>
          <t>ثابت</t>
        </is>
      </c>
      <c r="H16" s="5" t="inlineStr">
        <is>
          <t>افتراض</t>
        </is>
      </c>
    </row>
    <row r="17">
      <c r="A17" s="32" t="inlineStr">
        <is>
          <t>إجمالي المواد المستهلكة عند الطاقة الكاملة</t>
        </is>
      </c>
      <c r="F17" s="12">
        <f>F10+SUM(F12:F16)</f>
        <v>32602.344</v>
      </c>
    </row>
    <row r="18">
      <c r="A18" s="43" t="inlineStr">
        <is>
          <t>منها: تكاليف متغيرة</t>
        </is>
      </c>
      <c r="F18" s="11">
        <f>SUMIF(G6:G16,"متغير",F6:F16)</f>
        <v>21306.024</v>
      </c>
    </row>
    <row r="19">
      <c r="A19" s="43" t="inlineStr">
        <is>
          <t>منها: تكاليف ثابتة</t>
        </is>
      </c>
      <c r="F19" s="11">
        <f>SUMIF(G6:G16,"ثابت",F6:F16)</f>
        <v>11296.32</v>
      </c>
    </row>
  </sheetData>
  <pageMargins left="0.3888888888888889" right="0.3888888888888889" top="0.5" bottom="0.5" header="0.3" footer="0.3"/>
  <pageSetup orientation="landscape" paperSize="9" scale="67" fitToHeight="0" verticalDpi="0"/>
  <headerFooter>
    <oddHeader/>
    <oddFooter>&amp;C&amp;P / &amp;N</oddFooter>
    <evenHeader/>
    <evenFooter/>
    <firstHeader/>
    <firstFooter/>
  </headerFooter>
</worksheet>
</file>

<file path=xl/worksheets/sheet14.xml><?xml version="1.0" encoding="utf-8"?>
<worksheet xmlns="http://schemas.openxmlformats.org/spreadsheetml/2006/main">
  <sheetPr>
    <tabColor rgb="FF00B050"/>
    <outlinePr summaryBelow="1" summaryRight="1"/>
    <pageSetUpPr fitToPage="1"/>
  </sheetPr>
  <dimension ref="A1:I7"/>
  <sheetViews>
    <sheetView showGridLines="0" rightToLeft="1" zoomScale="90" zoomScaleNormal="90" workbookViewId="0">
      <pane xSplit="2" ySplit="4" topLeftCell="C5" activePane="bottomRight" state="frozen"/>
      <selection pane="topRight" activeCell="C1" sqref="C1"/>
      <selection pane="bottomLeft" activeCell="A5" sqref="A5"/>
      <selection pane="bottomRight" activeCell="A1" sqref="A1"/>
    </sheetView>
  </sheetViews>
  <sheetFormatPr baseColWidth="8" defaultRowHeight="12.75"/>
  <cols>
    <col width="48.7109375" customWidth="1" style="1" min="1" max="1"/>
    <col width="14.7109375" customWidth="1" style="1" min="2" max="2"/>
    <col width="13.7109375" customWidth="1" style="1" min="3" max="14"/>
    <col width="9.140625" customWidth="1" style="1" min="15" max="16384"/>
  </cols>
  <sheetData>
    <row r="1" ht="20.25" customHeight="1">
      <c r="A1" s="3" t="inlineStr">
        <is>
          <t>الإيرادات السنوية</t>
        </is>
      </c>
    </row>
    <row r="2">
      <c r="A2" s="5" t="inlineStr">
        <is>
          <t>الكمية من «الخطة الفنية والإنتاج» والسعر من «السوق والسعر»</t>
        </is>
      </c>
    </row>
    <row r="4">
      <c r="A4" s="6" t="inlineStr">
        <is>
          <t>البند</t>
        </is>
      </c>
      <c r="B4" s="6" t="inlineStr">
        <is>
          <t>الوحدة</t>
        </is>
      </c>
      <c r="C4" s="36" t="n">
        <v>0</v>
      </c>
      <c r="D4" s="37" t="n">
        <v>1</v>
      </c>
      <c r="E4" s="37" t="n">
        <v>2</v>
      </c>
      <c r="F4" s="37" t="n">
        <v>3</v>
      </c>
      <c r="G4" s="37" t="n">
        <v>4</v>
      </c>
      <c r="H4" s="37" t="n">
        <v>5</v>
      </c>
      <c r="I4" s="6" t="inlineStr">
        <is>
          <t>الإجمالي</t>
        </is>
      </c>
    </row>
    <row r="5">
      <c r="A5" s="43" t="inlineStr">
        <is>
          <t>الكمية المباعة</t>
        </is>
      </c>
      <c r="B5" s="7" t="inlineStr">
        <is>
          <t>طن</t>
        </is>
      </c>
      <c r="D5" s="11">
        <f>'الخطة الفنية والإنتاج'!D24</f>
        <v>60000</v>
      </c>
      <c r="E5" s="11">
        <f>'الخطة الفنية والإنتاج'!E24</f>
        <v>60000</v>
      </c>
      <c r="F5" s="11">
        <f>'الخطة الفنية والإنتاج'!F24</f>
        <v>60000</v>
      </c>
      <c r="G5" s="11">
        <f>'الخطة الفنية والإنتاج'!G24</f>
        <v>60000</v>
      </c>
      <c r="H5" s="11">
        <f>'الخطة الفنية والإنتاج'!H24</f>
        <v>60000</v>
      </c>
      <c r="I5" s="12">
        <f>SUM(D5:H5)</f>
        <v>300000</v>
      </c>
    </row>
    <row r="6">
      <c r="A6" s="43" t="inlineStr">
        <is>
          <t>سعر البيع عند موقع التجميع</t>
        </is>
      </c>
      <c r="B6" s="7" t="inlineStr">
        <is>
          <t>ر.ع / طن</t>
        </is>
      </c>
      <c r="D6" s="18">
        <f>SalePrice*F_Price*(1+PriceG)^(D$4-1)</f>
        <v>38.66</v>
      </c>
      <c r="E6" s="18">
        <f>SalePrice*F_Price*(1+PriceG)^(E$4-1)</f>
        <v>38.66</v>
      </c>
      <c r="F6" s="18">
        <f>SalePrice*F_Price*(1+PriceG)^(F$4-1)</f>
        <v>38.66</v>
      </c>
      <c r="G6" s="18">
        <f>SalePrice*F_Price*(1+PriceG)^(G$4-1)</f>
        <v>38.66</v>
      </c>
      <c r="H6" s="18">
        <f>SalePrice*F_Price*(1+PriceG)^(H$4-1)</f>
        <v>38.66</v>
      </c>
    </row>
    <row r="7">
      <c r="A7" s="32" t="inlineStr">
        <is>
          <t>إجمالي الإيرادات</t>
        </is>
      </c>
      <c r="B7" s="7" t="inlineStr">
        <is>
          <t>ر.ع</t>
        </is>
      </c>
      <c r="D7" s="13">
        <f>D5*D6</f>
        <v>2319600</v>
      </c>
      <c r="E7" s="13">
        <f>E5*E6</f>
        <v>2319600</v>
      </c>
      <c r="F7" s="13">
        <f>F5*F6</f>
        <v>2319600</v>
      </c>
      <c r="G7" s="13">
        <f>G5*G6</f>
        <v>2319600</v>
      </c>
      <c r="H7" s="13">
        <f>H5*H6</f>
        <v>2319600</v>
      </c>
      <c r="I7" s="12">
        <f>SUM(D7:H7)</f>
        <v>11598000</v>
      </c>
    </row>
  </sheetData>
  <pageMargins left="0.3888888888888889" right="0.3888888888888889" top="0.5" bottom="0.5" header="0.3" footer="0.3"/>
  <pageSetup orientation="landscape" paperSize="9" scale="62" fitToHeight="0" verticalDpi="0"/>
  <headerFooter>
    <oddHeader/>
    <oddFooter>&amp;C&amp;P / &amp;N</oddFooter>
    <evenHeader/>
    <evenFooter/>
    <firstHeader/>
    <firstFooter/>
  </headerFooter>
</worksheet>
</file>

<file path=xl/worksheets/sheet15.xml><?xml version="1.0" encoding="utf-8"?>
<worksheet xmlns="http://schemas.openxmlformats.org/spreadsheetml/2006/main">
  <sheetPr>
    <tabColor rgb="FFC00000"/>
    <outlinePr summaryBelow="1" summaryRight="1"/>
    <pageSetUpPr fitToPage="1"/>
  </sheetPr>
  <dimension ref="A1:I32"/>
  <sheetViews>
    <sheetView showGridLines="0" rightToLeft="1" zoomScale="90" zoomScaleNormal="90" workbookViewId="0">
      <pane xSplit="2" ySplit="4" topLeftCell="C5" activePane="bottomRight" state="frozen"/>
      <selection pane="topRight" activeCell="C1" sqref="C1"/>
      <selection pane="bottomLeft" activeCell="A5" sqref="A5"/>
      <selection pane="bottomRight" activeCell="A1" sqref="A1"/>
    </sheetView>
  </sheetViews>
  <sheetFormatPr baseColWidth="8" defaultRowHeight="12.75"/>
  <cols>
    <col width="48.7109375" customWidth="1" style="1" min="1" max="1"/>
    <col width="14.7109375" customWidth="1" style="1" min="2" max="2"/>
    <col width="13.7109375" customWidth="1" style="1" min="3" max="14"/>
    <col width="9.140625" customWidth="1" style="1" min="15" max="16384"/>
  </cols>
  <sheetData>
    <row r="1" ht="20.25" customHeight="1">
      <c r="A1" s="3" t="inlineStr">
        <is>
          <t>التكاليف التشغيلية السنوية</t>
        </is>
      </c>
    </row>
    <row r="2">
      <c r="A2" s="5" t="inlineStr">
        <is>
          <t>الثابتة لا تتغير مع الإنتاج؛ المتغيرة تتناسب مع نسبة استغلال الطاقة وأعباء تتبع العروق أو مع الإيرادات</t>
        </is>
      </c>
    </row>
    <row r="4">
      <c r="A4" s="6" t="inlineStr">
        <is>
          <t>البند</t>
        </is>
      </c>
      <c r="B4" s="6" t="inlineStr">
        <is>
          <t>الوحدة</t>
        </is>
      </c>
      <c r="C4" s="36" t="n">
        <v>0</v>
      </c>
      <c r="D4" s="37" t="n">
        <v>1</v>
      </c>
      <c r="E4" s="37" t="n">
        <v>2</v>
      </c>
      <c r="F4" s="37" t="n">
        <v>3</v>
      </c>
      <c r="G4" s="37" t="n">
        <v>4</v>
      </c>
      <c r="H4" s="37" t="n">
        <v>5</v>
      </c>
      <c r="I4" s="6" t="inlineStr">
        <is>
          <t>الإجمالي</t>
        </is>
      </c>
    </row>
    <row r="5">
      <c r="A5" s="43" t="inlineStr">
        <is>
          <t>معامل التضخم</t>
        </is>
      </c>
      <c r="B5" s="7" t="inlineStr">
        <is>
          <t>معامل</t>
        </is>
      </c>
      <c r="D5" s="18">
        <f>(1+InflRate)^(D$4-1)</f>
        <v>1</v>
      </c>
      <c r="E5" s="18">
        <f>(1+InflRate)^(E$4-1)</f>
        <v>1.015</v>
      </c>
      <c r="F5" s="18">
        <f>(1+InflRate)^(F$4-1)</f>
        <v>1.030225</v>
      </c>
      <c r="G5" s="18">
        <f>(1+InflRate)^(G$4-1)</f>
        <v>1.045678375</v>
      </c>
      <c r="H5" s="18">
        <f>(1+InflRate)^(H$4-1)</f>
        <v>1.061363550625</v>
      </c>
    </row>
    <row r="6">
      <c r="A6" s="43" t="inlineStr">
        <is>
          <t>نسبة استغلال الطاقة الإنتاجية</t>
        </is>
      </c>
      <c r="B6" s="7" t="inlineStr">
        <is>
          <t>%</t>
        </is>
      </c>
      <c r="D6" s="17">
        <f>'الخطة الفنية والإنتاج'!D20</f>
        <v>1</v>
      </c>
      <c r="E6" s="17">
        <f>'الخطة الفنية والإنتاج'!E20</f>
        <v>1</v>
      </c>
      <c r="F6" s="17">
        <f>'الخطة الفنية والإنتاج'!F20</f>
        <v>1</v>
      </c>
      <c r="G6" s="17">
        <f>'الخطة الفنية والإنتاج'!G20</f>
        <v>1</v>
      </c>
      <c r="H6" s="17">
        <f>'الخطة الفنية والإنتاج'!H20</f>
        <v>1</v>
      </c>
    </row>
    <row r="7">
      <c r="A7" s="43" t="inlineStr">
        <is>
          <t>نسبة الأعباء الإضافية لتتبع العروق</t>
        </is>
      </c>
      <c r="B7" s="7" t="inlineStr">
        <is>
          <t>%</t>
        </is>
      </c>
      <c r="D7" s="17">
        <f>'الخطة الفنية والإنتاج'!D21</f>
        <v>0</v>
      </c>
      <c r="E7" s="17">
        <f>'الخطة الفنية والإنتاج'!E21</f>
        <v>0.1</v>
      </c>
      <c r="F7" s="17">
        <f>'الخطة الفنية والإنتاج'!F21</f>
        <v>0.2</v>
      </c>
      <c r="G7" s="17">
        <f>'الخطة الفنية والإنتاج'!G21</f>
        <v>0.3</v>
      </c>
      <c r="H7" s="17">
        <f>'الخطة الفنية والإنتاج'!H21</f>
        <v>0.4</v>
      </c>
    </row>
    <row r="8">
      <c r="A8" s="15" t="inlineStr">
        <is>
          <t>أولاً: التكاليف الثابتة</t>
        </is>
      </c>
      <c r="B8" s="15" t="n"/>
      <c r="C8" s="15" t="n"/>
      <c r="D8" s="15" t="n"/>
      <c r="E8" s="15" t="n"/>
      <c r="F8" s="15" t="n"/>
      <c r="G8" s="15" t="n"/>
      <c r="H8" s="15" t="n"/>
      <c r="I8" s="15" t="n"/>
    </row>
    <row r="9">
      <c r="A9" s="43" t="inlineStr">
        <is>
          <t>الأجور والرواتب</t>
        </is>
      </c>
      <c r="B9" s="7" t="inlineStr">
        <is>
          <t>ر.ع</t>
        </is>
      </c>
      <c r="D9" s="11">
        <f>Payroll*D$5*F_Opex</f>
        <v>80040</v>
      </c>
      <c r="E9" s="11">
        <f>Payroll*E$5*F_Opex</f>
        <v>81240.6</v>
      </c>
      <c r="F9" s="11">
        <f>Payroll*F$5*F_Opex</f>
        <v>82459.209</v>
      </c>
      <c r="G9" s="11">
        <f>Payroll*G$5*F_Opex</f>
        <v>83696.097135</v>
      </c>
      <c r="H9" s="11">
        <f>Payroll*H$5*F_Opex</f>
        <v>84951.538592025</v>
      </c>
      <c r="I9" s="12">
        <f>SUM(D9:H9)</f>
        <v>412387.444727025</v>
      </c>
    </row>
    <row r="10">
      <c r="A10" s="43" t="inlineStr">
        <is>
          <t>التأمينات واشتراكات العمالة</t>
        </is>
      </c>
      <c r="B10" s="7" t="inlineStr">
        <is>
          <t>ر.ع</t>
        </is>
      </c>
      <c r="D10" s="11">
        <f>StaffOnCost*D$5*F_Opex</f>
        <v>14379.8</v>
      </c>
      <c r="E10" s="11">
        <f>StaffOnCost*E$5*F_Opex</f>
        <v>14595.497</v>
      </c>
      <c r="F10" s="11">
        <f>StaffOnCost*F$5*F_Opex</f>
        <v>14814.429455</v>
      </c>
      <c r="G10" s="11">
        <f>StaffOnCost*G$5*F_Opex</f>
        <v>15036.645896825</v>
      </c>
      <c r="H10" s="11">
        <f>StaffOnCost*H$5*F_Opex</f>
        <v>15262.1955852774</v>
      </c>
      <c r="I10" s="12">
        <f>SUM(D10:H10)</f>
        <v>74088.5679371024</v>
      </c>
    </row>
    <row r="11">
      <c r="A11" s="43" t="inlineStr">
        <is>
          <t>إيجار المواقع</t>
        </is>
      </c>
      <c r="B11" s="7" t="inlineStr">
        <is>
          <t>ر.ع</t>
        </is>
      </c>
      <c r="D11" s="11">
        <f>SiteRent*D$5*F_Opex</f>
        <v>10200</v>
      </c>
      <c r="E11" s="11">
        <f>SiteRent*E$5*F_Opex</f>
        <v>10353</v>
      </c>
      <c r="F11" s="11">
        <f>SiteRent*F$5*F_Opex</f>
        <v>10508.295</v>
      </c>
      <c r="G11" s="11">
        <f>SiteRent*G$5*F_Opex</f>
        <v>10665.919425</v>
      </c>
      <c r="H11" s="11">
        <f>SiteRent*H$5*F_Opex</f>
        <v>10825.908216375</v>
      </c>
      <c r="I11" s="12">
        <f>SUM(D11:H11)</f>
        <v>52553.122641375</v>
      </c>
    </row>
    <row r="12">
      <c r="A12" s="43" t="inlineStr">
        <is>
          <t>إيجار المعدات الشهري (المولد)</t>
        </is>
      </c>
      <c r="B12" s="7" t="inlineStr">
        <is>
          <t>ر.ع</t>
        </is>
      </c>
      <c r="D12" s="11">
        <f>EquipRent*D$5*F_Opex</f>
        <v>480</v>
      </c>
      <c r="E12" s="11">
        <f>EquipRent*E$5*F_Opex</f>
        <v>487.2</v>
      </c>
      <c r="F12" s="11">
        <f>EquipRent*F$5*F_Opex</f>
        <v>494.508</v>
      </c>
      <c r="G12" s="11">
        <f>EquipRent*G$5*F_Opex</f>
        <v>501.92562</v>
      </c>
      <c r="H12" s="11">
        <f>EquipRent*H$5*F_Opex</f>
        <v>509.4545043</v>
      </c>
      <c r="I12" s="12">
        <f>SUM(D12:H12)</f>
        <v>2473.0881243</v>
      </c>
    </row>
    <row r="13">
      <c r="A13" s="43" t="inlineStr">
        <is>
          <t>المواد المستهلكة — الجزء الثابت</t>
        </is>
      </c>
      <c r="B13" s="7" t="inlineStr">
        <is>
          <t>ر.ع</t>
        </is>
      </c>
      <c r="D13" s="11">
        <f>ConsFix*D$5*F_Opex</f>
        <v>11296.32</v>
      </c>
      <c r="E13" s="11">
        <f>ConsFix*E$5*F_Opex</f>
        <v>11465.7648</v>
      </c>
      <c r="F13" s="11">
        <f>ConsFix*F$5*F_Opex</f>
        <v>11637.751272</v>
      </c>
      <c r="G13" s="11">
        <f>ConsFix*G$5*F_Opex</f>
        <v>11812.31754108</v>
      </c>
      <c r="H13" s="11">
        <f>ConsFix*H$5*F_Opex</f>
        <v>11989.5023041962</v>
      </c>
      <c r="I13" s="12">
        <f>SUM(D13:H13)</f>
        <v>58201.6559172762</v>
      </c>
    </row>
    <row r="14">
      <c r="A14" s="43" t="inlineStr">
        <is>
          <t>نسبة الصيانة من تكلفة المعدات المملوكة</t>
        </is>
      </c>
      <c r="B14" s="7" t="inlineStr">
        <is>
          <t>%</t>
        </is>
      </c>
      <c r="D14" s="38" t="n">
        <v>0.04</v>
      </c>
      <c r="E14" s="38" t="n">
        <v>0.04</v>
      </c>
      <c r="F14" s="38" t="n">
        <v>0.05</v>
      </c>
      <c r="G14" s="38" t="n">
        <v>0.06</v>
      </c>
      <c r="H14" s="38" t="n">
        <v>0.06</v>
      </c>
    </row>
    <row r="15">
      <c r="A15" s="43" t="inlineStr">
        <is>
          <t>صيانة المعدات المملوكة</t>
        </is>
      </c>
      <c r="B15" s="7" t="inlineStr">
        <is>
          <t>ر.ع</t>
        </is>
      </c>
      <c r="D15" s="11">
        <f>MobileEq*D14*D$5*F_Opex</f>
        <v>3720</v>
      </c>
      <c r="E15" s="11">
        <f>MobileEq*E14*E$5*F_Opex</f>
        <v>3775.8</v>
      </c>
      <c r="F15" s="11">
        <f>MobileEq*F14*F$5*F_Opex</f>
        <v>4790.54625</v>
      </c>
      <c r="G15" s="11">
        <f>MobileEq*G14*G$5*F_Opex</f>
        <v>5834.8853325</v>
      </c>
      <c r="H15" s="11">
        <f>MobileEq*H14*H$5*F_Opex</f>
        <v>5922.4086124875</v>
      </c>
      <c r="I15" s="12">
        <f>SUM(D15:H15)</f>
        <v>24043.6401949875</v>
      </c>
    </row>
    <row r="16">
      <c r="A16" s="43" t="inlineStr">
        <is>
          <t>تأمين المعدات المملوكة</t>
        </is>
      </c>
      <c r="B16" s="7" t="inlineStr">
        <is>
          <t>ر.ع</t>
        </is>
      </c>
      <c r="D16" s="11">
        <f>MobileEq*EqIns*F_Opex</f>
        <v>1395</v>
      </c>
      <c r="E16" s="11">
        <f>MobileEq*EqIns*F_Opex</f>
        <v>1395</v>
      </c>
      <c r="F16" s="11">
        <f>MobileEq*EqIns*F_Opex</f>
        <v>1395</v>
      </c>
      <c r="G16" s="11">
        <f>MobileEq*EqIns*F_Opex</f>
        <v>1395</v>
      </c>
      <c r="H16" s="11">
        <f>MobileEq*EqIns*F_Opex</f>
        <v>1395</v>
      </c>
      <c r="I16" s="12">
        <f>SUM(D16:H16)</f>
        <v>6975</v>
      </c>
    </row>
    <row r="17">
      <c r="A17" s="43" t="inlineStr">
        <is>
          <t>تجديد التراخيص والرسوم الحكومية</t>
        </is>
      </c>
      <c r="B17" s="7" t="inlineStr">
        <is>
          <t>ر.ع</t>
        </is>
      </c>
      <c r="D17" s="11">
        <f>LicRenew*D$5*F_Opex</f>
        <v>1600</v>
      </c>
      <c r="E17" s="11">
        <f>LicRenew*E$5*F_Opex</f>
        <v>1624</v>
      </c>
      <c r="F17" s="11">
        <f>LicRenew*F$5*F_Opex</f>
        <v>1648.36</v>
      </c>
      <c r="G17" s="11">
        <f>LicRenew*G$5*F_Opex</f>
        <v>1673.0854</v>
      </c>
      <c r="H17" s="11">
        <f>LicRenew*H$5*F_Opex</f>
        <v>1698.181681</v>
      </c>
      <c r="I17" s="12">
        <f>SUM(D17:H17)</f>
        <v>8243.627081</v>
      </c>
    </row>
    <row r="18">
      <c r="A18" s="43" t="inlineStr">
        <is>
          <t>تجديد مأذونيات العمل (كل سنتين)</t>
        </is>
      </c>
      <c r="B18" s="7" t="inlineStr">
        <is>
          <t>ر.ع</t>
        </is>
      </c>
      <c r="D18" s="11">
        <f>IF(MOD(D$4,2)=0,PermitRenew,0)*F_Opex</f>
        <v>0</v>
      </c>
      <c r="E18" s="11">
        <f>IF(MOD(E$4,2)=0,PermitRenew,0)*F_Opex</f>
        <v>1708</v>
      </c>
      <c r="F18" s="11">
        <f>IF(MOD(F$4,2)=0,PermitRenew,0)*F_Opex</f>
        <v>0</v>
      </c>
      <c r="G18" s="11">
        <f>IF(MOD(G$4,2)=0,PermitRenew,0)*F_Opex</f>
        <v>1708</v>
      </c>
      <c r="H18" s="11">
        <f>IF(MOD(H$4,2)=0,PermitRenew,0)*F_Opex</f>
        <v>0</v>
      </c>
      <c r="I18" s="12">
        <f>SUM(D18:H18)</f>
        <v>3416</v>
      </c>
    </row>
    <row r="19">
      <c r="A19" s="43" t="inlineStr">
        <is>
          <t>مصاريف إدارية وعمومية</t>
        </is>
      </c>
      <c r="B19" s="7" t="inlineStr">
        <is>
          <t>ر.ع</t>
        </is>
      </c>
      <c r="D19" s="11">
        <f>GenAdmin*D$5*F_Opex</f>
        <v>4800</v>
      </c>
      <c r="E19" s="11">
        <f>GenAdmin*E$5*F_Opex</f>
        <v>4872</v>
      </c>
      <c r="F19" s="11">
        <f>GenAdmin*F$5*F_Opex</f>
        <v>4945.08</v>
      </c>
      <c r="G19" s="11">
        <f>GenAdmin*G$5*F_Opex</f>
        <v>5019.2562</v>
      </c>
      <c r="H19" s="11">
        <f>GenAdmin*H$5*F_Opex</f>
        <v>5094.545043</v>
      </c>
      <c r="I19" s="12">
        <f>SUM(D19:H19)</f>
        <v>24730.881243</v>
      </c>
    </row>
    <row r="20">
      <c r="A20" s="43" t="inlineStr">
        <is>
          <t>المنافع العامة</t>
        </is>
      </c>
      <c r="B20" s="7" t="inlineStr">
        <is>
          <t>ر.ع</t>
        </is>
      </c>
      <c r="D20" s="11">
        <f>Utilities*D$5*F_Opex</f>
        <v>1800</v>
      </c>
      <c r="E20" s="11">
        <f>Utilities*E$5*F_Opex</f>
        <v>1827</v>
      </c>
      <c r="F20" s="11">
        <f>Utilities*F$5*F_Opex</f>
        <v>1854.405</v>
      </c>
      <c r="G20" s="11">
        <f>Utilities*G$5*F_Opex</f>
        <v>1882.221075</v>
      </c>
      <c r="H20" s="11">
        <f>Utilities*H$5*F_Opex</f>
        <v>1910.454391125</v>
      </c>
      <c r="I20" s="12">
        <f>SUM(D20:H20)</f>
        <v>9274.080466125</v>
      </c>
    </row>
    <row r="21">
      <c r="A21" s="43" t="inlineStr">
        <is>
          <t>الفحص المخبري والتسويق</t>
        </is>
      </c>
      <c r="B21" s="7" t="inlineStr">
        <is>
          <t>ر.ع</t>
        </is>
      </c>
      <c r="D21" s="11">
        <f>AssayCost*D$5*F_Opex</f>
        <v>2400</v>
      </c>
      <c r="E21" s="11">
        <f>AssayCost*E$5*F_Opex</f>
        <v>2436</v>
      </c>
      <c r="F21" s="11">
        <f>AssayCost*F$5*F_Opex</f>
        <v>2472.54</v>
      </c>
      <c r="G21" s="11">
        <f>AssayCost*G$5*F_Opex</f>
        <v>2509.6281</v>
      </c>
      <c r="H21" s="11">
        <f>AssayCost*H$5*F_Opex</f>
        <v>2547.2725215</v>
      </c>
      <c r="I21" s="12">
        <f>SUM(D21:H21)</f>
        <v>12365.4406215</v>
      </c>
    </row>
    <row r="22">
      <c r="A22" s="43" t="inlineStr">
        <is>
          <t>عمولة الضمان البنكي</t>
        </is>
      </c>
      <c r="B22" s="7" t="inlineStr">
        <is>
          <t>ر.ع</t>
        </is>
      </c>
      <c r="D22" s="11">
        <f>BankGuar*GuarComm*F_Opex</f>
        <v>825</v>
      </c>
      <c r="E22" s="11">
        <f>BankGuar*GuarComm*F_Opex</f>
        <v>825</v>
      </c>
      <c r="F22" s="11">
        <f>BankGuar*GuarComm*F_Opex</f>
        <v>825</v>
      </c>
      <c r="G22" s="11">
        <f>BankGuar*GuarComm*F_Opex</f>
        <v>825</v>
      </c>
      <c r="H22" s="11">
        <f>BankGuar*GuarComm*F_Opex</f>
        <v>825</v>
      </c>
      <c r="I22" s="12">
        <f>SUM(D22:H22)</f>
        <v>4125</v>
      </c>
    </row>
    <row r="23">
      <c r="A23" s="43" t="inlineStr">
        <is>
          <t>إعادة تأهيل الموقع</t>
        </is>
      </c>
      <c r="B23" s="7" t="inlineStr">
        <is>
          <t>ر.ع</t>
        </is>
      </c>
      <c r="D23" s="11">
        <f>RehabCost*D$5*F_Opex</f>
        <v>2500</v>
      </c>
      <c r="E23" s="11">
        <f>RehabCost*E$5*F_Opex</f>
        <v>2537.5</v>
      </c>
      <c r="F23" s="11">
        <f>RehabCost*F$5*F_Opex</f>
        <v>2575.5625</v>
      </c>
      <c r="G23" s="11">
        <f>RehabCost*G$5*F_Opex</f>
        <v>2614.1959375</v>
      </c>
      <c r="H23" s="11">
        <f>RehabCost*H$5*F_Opex</f>
        <v>2653.4088765625</v>
      </c>
      <c r="I23" s="12">
        <f>SUM(D23:H23)</f>
        <v>12880.6673140625</v>
      </c>
    </row>
    <row r="24">
      <c r="A24" s="32" t="inlineStr">
        <is>
          <t>إجمالي التكاليف الثابتة</t>
        </is>
      </c>
      <c r="B24" s="7" t="inlineStr">
        <is>
          <t>ر.ع</t>
        </is>
      </c>
      <c r="D24" s="12">
        <f>SUM(D9:D13)+SUM(D15:D23)</f>
        <v>135436.12</v>
      </c>
      <c r="E24" s="12">
        <f>SUM(E9:E13)+SUM(E15:E23)</f>
        <v>139142.3618</v>
      </c>
      <c r="F24" s="12">
        <f>SUM(F9:F13)+SUM(F15:F23)</f>
        <v>140420.686477</v>
      </c>
      <c r="G24" s="12">
        <f>SUM(G9:G13)+SUM(G15:G23)</f>
        <v>145174.177662905</v>
      </c>
      <c r="H24" s="12">
        <f>SUM(H9:H13)+SUM(H15:H23)</f>
        <v>145584.870327849</v>
      </c>
      <c r="I24" s="12">
        <f>SUM(D24:H24)</f>
        <v>705758.216267753</v>
      </c>
    </row>
    <row r="25">
      <c r="A25" s="15" t="inlineStr">
        <is>
          <t>ثانياً: التكاليف المتغيرة</t>
        </is>
      </c>
      <c r="B25" s="15" t="n"/>
      <c r="C25" s="15" t="n"/>
      <c r="D25" s="15" t="n"/>
      <c r="E25" s="15" t="n"/>
      <c r="F25" s="15" t="n"/>
      <c r="G25" s="15" t="n"/>
      <c r="H25" s="15" t="n"/>
      <c r="I25" s="15" t="n"/>
    </row>
    <row r="26">
      <c r="A26" s="43" t="inlineStr">
        <is>
          <t>إيجار الحفارات بالساعة (شامل المشغل والديزل)</t>
        </is>
      </c>
      <c r="B26" s="7" t="inlineStr">
        <is>
          <t>ر.ع</t>
        </is>
      </c>
      <c r="D26" s="11">
        <f>'الخطة الفنية والإنتاج'!D25*HireRate*D$5*F_Opex</f>
        <v>187200</v>
      </c>
      <c r="E26" s="11">
        <f>'الخطة الفنية والإنتاج'!E25*HireRate*E$5*F_Opex</f>
        <v>209008.8</v>
      </c>
      <c r="F26" s="11">
        <f>'الخطة الفنية والإنتاج'!F25*HireRate*F$5*F_Opex</f>
        <v>231429.744</v>
      </c>
      <c r="G26" s="11">
        <f>'الخطة الفنية والإنتاج'!G25*HireRate*G$5*F_Opex</f>
        <v>254476.28934</v>
      </c>
      <c r="H26" s="11">
        <f>'الخطة الفنية والإنتاج'!H25*HireRate*H$5*F_Opex</f>
        <v>278162.1593478</v>
      </c>
      <c r="I26" s="12">
        <f>SUM(D26:H26)</f>
        <v>1160276.9926878</v>
      </c>
    </row>
    <row r="27">
      <c r="A27" s="43" t="inlineStr">
        <is>
          <t>المواد المستهلكة — الجزء المتغير</t>
        </is>
      </c>
      <c r="B27" s="7" t="inlineStr">
        <is>
          <t>ر.ع</t>
        </is>
      </c>
      <c r="D27" s="11">
        <f>ConsVar*D6*(1+D7)*D$5*F_Opex</f>
        <v>21306.024</v>
      </c>
      <c r="E27" s="11">
        <f>ConsVar*E6*(1+E7)*E$5*F_Opex</f>
        <v>23788.175796</v>
      </c>
      <c r="F27" s="11">
        <f>ConsVar*F6*(1+F7)*F$5*F_Opex</f>
        <v>26339.99829048</v>
      </c>
      <c r="G27" s="11">
        <f>ConsVar*G6*(1+G7)*G$5*F_Opex</f>
        <v>28963.0231202403</v>
      </c>
      <c r="H27" s="11">
        <f>ConsVar*H6*(1+H7)*H$5*F_Opex</f>
        <v>31658.812195278</v>
      </c>
      <c r="I27" s="12">
        <f>SUM(D27:H27)</f>
        <v>132056.033401998</v>
      </c>
    </row>
    <row r="28">
      <c r="A28" s="43" t="inlineStr">
        <is>
          <t>الإتاوة الحكومية</t>
        </is>
      </c>
      <c r="B28" s="7" t="inlineStr">
        <is>
          <t>ر.ع</t>
        </is>
      </c>
      <c r="D28" s="11">
        <f>الإيرادات!D7*RoyaltyRate</f>
        <v>115980</v>
      </c>
      <c r="E28" s="11">
        <f>الإيرادات!E7*RoyaltyRate</f>
        <v>115980</v>
      </c>
      <c r="F28" s="11">
        <f>الإيرادات!F7*RoyaltyRate</f>
        <v>115980</v>
      </c>
      <c r="G28" s="11">
        <f>الإيرادات!G7*RoyaltyRate</f>
        <v>115980</v>
      </c>
      <c r="H28" s="11">
        <f>الإيرادات!H7*RoyaltyRate</f>
        <v>115980</v>
      </c>
      <c r="I28" s="12">
        <f>SUM(D28:H28)</f>
        <v>579900</v>
      </c>
    </row>
    <row r="29">
      <c r="A29" s="43" t="inlineStr">
        <is>
          <t>مساهمة تنمية المجتمع المحلي</t>
        </is>
      </c>
      <c r="B29" s="7" t="inlineStr">
        <is>
          <t>ر.ع</t>
        </is>
      </c>
      <c r="D29" s="11">
        <f>الإيرادات!D7*CommunityRate</f>
        <v>23196</v>
      </c>
      <c r="E29" s="11">
        <f>الإيرادات!E7*CommunityRate</f>
        <v>23196</v>
      </c>
      <c r="F29" s="11">
        <f>الإيرادات!F7*CommunityRate</f>
        <v>23196</v>
      </c>
      <c r="G29" s="11">
        <f>الإيرادات!G7*CommunityRate</f>
        <v>23196</v>
      </c>
      <c r="H29" s="11">
        <f>الإيرادات!H7*CommunityRate</f>
        <v>23196</v>
      </c>
      <c r="I29" s="12">
        <f>SUM(D29:H29)</f>
        <v>115980</v>
      </c>
    </row>
    <row r="30">
      <c r="A30" s="32" t="inlineStr">
        <is>
          <t>إجمالي التكاليف المتغيرة</t>
        </is>
      </c>
      <c r="B30" s="7" t="inlineStr">
        <is>
          <t>ر.ع</t>
        </is>
      </c>
      <c r="D30" s="12">
        <f>SUM(D26:D29)</f>
        <v>347682.024</v>
      </c>
      <c r="E30" s="12">
        <f>SUM(E26:E29)</f>
        <v>371972.975796</v>
      </c>
      <c r="F30" s="12">
        <f>SUM(F26:F29)</f>
        <v>396945.74229048</v>
      </c>
      <c r="G30" s="12">
        <f>SUM(G26:G29)</f>
        <v>422615.31246024</v>
      </c>
      <c r="H30" s="12">
        <f>SUM(H26:H29)</f>
        <v>448996.971543078</v>
      </c>
      <c r="I30" s="12">
        <f>SUM(D30:H30)</f>
        <v>1988213.0260898</v>
      </c>
    </row>
    <row r="31">
      <c r="A31" s="32" t="inlineStr">
        <is>
          <t>إجمالي التكاليف التشغيلية النقدية</t>
        </is>
      </c>
      <c r="B31" s="7" t="inlineStr">
        <is>
          <t>ر.ع</t>
        </is>
      </c>
      <c r="D31" s="13">
        <f>D24+D30</f>
        <v>483118.144</v>
      </c>
      <c r="E31" s="13">
        <f>E24+E30</f>
        <v>511115.337596</v>
      </c>
      <c r="F31" s="13">
        <f>F24+F30</f>
        <v>537366.42876748</v>
      </c>
      <c r="G31" s="13">
        <f>G24+G30</f>
        <v>567789.490123145</v>
      </c>
      <c r="H31" s="13">
        <f>H24+H30</f>
        <v>594581.841870927</v>
      </c>
      <c r="I31" s="12">
        <f>SUM(D31:H31)</f>
        <v>2693971.24235755</v>
      </c>
    </row>
    <row r="32">
      <c r="A32" s="43" t="inlineStr">
        <is>
          <t>تكلفة الطن المباع</t>
        </is>
      </c>
      <c r="B32" s="7" t="inlineStr">
        <is>
          <t>ر.ع / طن</t>
        </is>
      </c>
      <c r="D32" s="18">
        <f>IF(الإيرادات!D5&gt;0,D31/الإيرادات!D5,0)</f>
        <v>8.05196906666667</v>
      </c>
      <c r="E32" s="18">
        <f>IF(الإيرادات!E5&gt;0,E31/الإيرادات!E5,0)</f>
        <v>8.51858895993333</v>
      </c>
      <c r="F32" s="18">
        <f>IF(الإيرادات!F5&gt;0,F31/الإيرادات!F5,0)</f>
        <v>8.95610714612467</v>
      </c>
      <c r="G32" s="18">
        <f>IF(الإيرادات!G5&gt;0,G31/الإيرادات!G5,0)</f>
        <v>9.46315816871909</v>
      </c>
      <c r="H32" s="18">
        <f>IF(الإيرادات!H5&gt;0,H31/الإيرادات!H5,0)</f>
        <v>9.90969736451544</v>
      </c>
      <c r="I32" s="18">
        <f>IF(الإيرادات!I5&gt;0,I31/الإيرادات!I5,0)</f>
        <v>8.97990414119184</v>
      </c>
    </row>
  </sheetData>
  <pageMargins left="0.3888888888888889" right="0.3888888888888889" top="0.5" bottom="0.5" header="0.3" footer="0.3"/>
  <pageSetup orientation="landscape" paperSize="9" scale="62" fitToHeight="0" verticalDpi="0"/>
  <headerFooter>
    <oddHeader/>
    <oddFooter>&amp;C&amp;P / &amp;N</oddFooter>
    <evenHeader/>
    <evenFooter/>
    <firstHeader/>
    <firstFooter/>
  </headerFooter>
</worksheet>
</file>

<file path=xl/worksheets/sheet16.xml><?xml version="1.0" encoding="utf-8"?>
<worksheet xmlns="http://schemas.openxmlformats.org/spreadsheetml/2006/main">
  <sheetPr>
    <tabColor rgb="FF002060"/>
    <outlinePr summaryBelow="1" summaryRight="1"/>
    <pageSetUpPr fitToPage="1"/>
  </sheetPr>
  <dimension ref="A1:I31"/>
  <sheetViews>
    <sheetView showGridLines="0" rightToLeft="1" zoomScale="90" zoomScaleNormal="90" workbookViewId="0">
      <selection activeCell="A1" sqref="A1"/>
    </sheetView>
  </sheetViews>
  <sheetFormatPr baseColWidth="8" defaultRowHeight="12.75"/>
  <cols>
    <col width="48.7109375" customWidth="1" style="1" min="1" max="1"/>
    <col width="18.7109375" customWidth="1" style="1" min="2" max="2"/>
    <col width="13.7109375" customWidth="1" style="1" min="3" max="14"/>
    <col width="9.140625" customWidth="1" style="1" min="15" max="16384"/>
  </cols>
  <sheetData>
    <row r="1" ht="20.25" customHeight="1">
      <c r="A1" s="3" t="inlineStr">
        <is>
          <t>التكلفة الاستثمارية ورأس المال العامل وهيكل التمويل</t>
        </is>
      </c>
    </row>
    <row r="2">
      <c r="A2" s="5" t="inlineStr">
        <is>
          <t>تجمع كل ما يلزم إنفاقه قبل أول إيراد، مع بيان ما دُفع سابقاً وما يلزم تمويله</t>
        </is>
      </c>
    </row>
    <row r="4">
      <c r="A4" s="6" t="inlineStr">
        <is>
          <t>البند</t>
        </is>
      </c>
      <c r="B4" s="6" t="inlineStr">
        <is>
          <t>القيمة (ر.ع)</t>
        </is>
      </c>
      <c r="C4" s="6" t="inlineStr">
        <is>
          <t>النسبة</t>
        </is>
      </c>
      <c r="D4" s="6" t="inlineStr">
        <is>
          <t>ملاحظات</t>
        </is>
      </c>
      <c r="E4" s="6" t="n"/>
      <c r="F4" s="6" t="n"/>
      <c r="G4" s="6" t="n"/>
      <c r="H4" s="6" t="n"/>
    </row>
    <row r="5">
      <c r="A5" s="15" t="inlineStr">
        <is>
          <t>أولاً: التكلفة الاستثمارية الإجمالية</t>
        </is>
      </c>
      <c r="B5" s="15" t="n"/>
      <c r="C5" s="15" t="n"/>
      <c r="D5" s="15" t="n"/>
      <c r="E5" s="15" t="n"/>
      <c r="F5" s="15" t="n"/>
      <c r="G5" s="15" t="n"/>
      <c r="H5" s="15" t="n"/>
    </row>
    <row r="6">
      <c r="A6" s="43" t="inlineStr">
        <is>
          <t>الأصول الثابتة</t>
        </is>
      </c>
      <c r="B6" s="11">
        <f>FixedAssets</f>
        <v>100500</v>
      </c>
      <c r="C6" s="17">
        <f>B6/$B$10</f>
        <v>0.199204160153517</v>
      </c>
      <c r="D6" s="5" t="inlineStr">
        <is>
          <t>من ورقة «الأصول والإهلاك»</t>
        </is>
      </c>
    </row>
    <row r="7">
      <c r="A7" s="43" t="inlineStr">
        <is>
          <t>مصاريف ما قبل التشغيل (شاملة مصاريف الاستكشاف السابقة)</t>
        </is>
      </c>
      <c r="B7" s="11">
        <f>PreOp</f>
        <v>228228</v>
      </c>
      <c r="C7" s="17">
        <f>B7/$B$10</f>
        <v>0.452377781726535</v>
      </c>
      <c r="D7" s="5" t="inlineStr">
        <is>
          <t>من ورقة «مصاريف ما قبل التشغيل»</t>
        </is>
      </c>
    </row>
    <row r="8">
      <c r="A8" s="43" t="inlineStr">
        <is>
          <t>الضمانات البنكية (وديعة مستردة)</t>
        </is>
      </c>
      <c r="B8" s="11">
        <f>BankGuar</f>
        <v>55000</v>
      </c>
      <c r="C8" s="17">
        <f>B8/$B$10</f>
        <v>0.109017202074064</v>
      </c>
      <c r="D8" s="5" t="inlineStr">
        <is>
          <t>تُسترد بعد إغلاق المحجر وإعادة تأهيله</t>
        </is>
      </c>
    </row>
    <row r="9">
      <c r="A9" s="43" t="inlineStr">
        <is>
          <t>رأس المال العامل</t>
        </is>
      </c>
      <c r="B9" s="11">
        <f>B17</f>
        <v>120779.536</v>
      </c>
      <c r="C9" s="17">
        <f>B9/$B$10</f>
        <v>0.239400856045885</v>
      </c>
      <c r="D9" s="5" t="inlineStr">
        <is>
          <t>محتسب أدناه</t>
        </is>
      </c>
    </row>
    <row r="10">
      <c r="A10" s="29" t="inlineStr">
        <is>
          <t>إجمالي التكلفة الاستثمارية</t>
        </is>
      </c>
      <c r="B10" s="13">
        <f>SUM(B6:B9)</f>
        <v>504507.536</v>
      </c>
      <c r="C10" s="46">
        <f>SUM(C6:C9)</f>
        <v>1</v>
      </c>
    </row>
    <row r="11">
      <c r="A11" s="43" t="inlineStr">
        <is>
          <t>منها: مصاريف مدفوعة سابقاً</t>
        </is>
      </c>
      <c r="B11" s="11">
        <f>SunkCost</f>
        <v>200000</v>
      </c>
      <c r="C11" s="17">
        <f>B11/$B$10</f>
        <v>0.396426189360232</v>
      </c>
      <c r="D11" s="5" t="inlineStr">
        <is>
          <t>مساهمة المالك المنفذة</t>
        </is>
      </c>
    </row>
    <row r="12">
      <c r="A12" s="32" t="inlineStr">
        <is>
          <t>الاستثمار الجديد المطلوب</t>
        </is>
      </c>
      <c r="B12" s="12">
        <f>B10-B11</f>
        <v>304507.536</v>
      </c>
      <c r="C12" s="46">
        <f>B12/$B$10</f>
        <v>0.603573810639768</v>
      </c>
    </row>
    <row r="14">
      <c r="A14" s="15" t="inlineStr">
        <is>
          <t>ثانياً: رأس المال العامل</t>
        </is>
      </c>
      <c r="B14" s="15" t="n"/>
      <c r="C14" s="15" t="n"/>
      <c r="D14" s="15" t="n"/>
      <c r="E14" s="15" t="n"/>
      <c r="F14" s="15" t="n"/>
      <c r="G14" s="15" t="n"/>
      <c r="H14" s="15" t="n"/>
    </row>
    <row r="15">
      <c r="A15" s="43" t="inlineStr">
        <is>
          <t>التكاليف التشغيلية النقدية للسنة الأولى</t>
        </is>
      </c>
      <c r="B15" s="11">
        <f>'التكاليف التشغيلية'!D31</f>
        <v>483118.144</v>
      </c>
      <c r="D15" s="5" t="inlineStr">
        <is>
          <t>من ورقة «التكاليف التشغيلية» (كان صفراً في الملف الأصلي بسبب الروابط المكسورة)</t>
        </is>
      </c>
    </row>
    <row r="16">
      <c r="A16" s="43" t="inlineStr">
        <is>
          <t>عدد أشهر التغطية</t>
        </is>
      </c>
      <c r="B16" s="11">
        <f>WCMonths</f>
        <v>3</v>
      </c>
    </row>
    <row r="17">
      <c r="A17" s="32" t="inlineStr">
        <is>
          <t>رأس المال العامل المطلوب</t>
        </is>
      </c>
      <c r="B17" s="12">
        <f>B15*B16/12</f>
        <v>120779.536</v>
      </c>
    </row>
    <row r="19">
      <c r="A19" s="15" t="inlineStr">
        <is>
          <t>ثالثاً: هيكل التمويل</t>
        </is>
      </c>
      <c r="B19" s="15" t="n"/>
      <c r="C19" s="15" t="n"/>
      <c r="D19" s="15" t="n"/>
      <c r="E19" s="15" t="n"/>
      <c r="F19" s="15" t="n"/>
      <c r="G19" s="15" t="n"/>
      <c r="H19" s="15" t="n"/>
    </row>
    <row r="20">
      <c r="A20" s="43" t="inlineStr">
        <is>
          <t>قرض بنكي</t>
        </is>
      </c>
      <c r="B20" s="11">
        <f>Loan</f>
        <v>150000</v>
      </c>
      <c r="C20" s="17">
        <f>B20/$B$23</f>
        <v>0.297319642020174</v>
      </c>
    </row>
    <row r="21">
      <c r="A21" s="43" t="inlineStr">
        <is>
          <t>مساهمة المالك — مدفوعة سابقاً</t>
        </is>
      </c>
      <c r="B21" s="11">
        <f>SunkCost</f>
        <v>200000</v>
      </c>
      <c r="C21" s="17">
        <f>B21/$B$23</f>
        <v>0.396426189360232</v>
      </c>
    </row>
    <row r="22">
      <c r="A22" s="43" t="inlineStr">
        <is>
          <t>مساهمة المالك — نقد جديد</t>
        </is>
      </c>
      <c r="B22" s="11">
        <f>B10-B20-B21</f>
        <v>154507.536</v>
      </c>
      <c r="C22" s="17">
        <f>B22/$B$23</f>
        <v>0.306254168619594</v>
      </c>
    </row>
    <row r="23">
      <c r="A23" s="29" t="inlineStr">
        <is>
          <t>إجمالي مصادر التمويل</t>
        </is>
      </c>
      <c r="B23" s="12">
        <f>SUM(B20:B22)</f>
        <v>504507.536</v>
      </c>
      <c r="C23" s="46">
        <f>SUM(C20:C22)</f>
        <v>1</v>
      </c>
    </row>
    <row r="24">
      <c r="A24" s="43" t="inlineStr">
        <is>
          <t>نسبة القرض إلى الاستثمار الجديد</t>
        </is>
      </c>
      <c r="B24" s="17">
        <f>IF(NewInv&gt;0,Loan/NewInv,0)</f>
        <v>0.492598646228578</v>
      </c>
    </row>
    <row r="26">
      <c r="A26" s="6" t="inlineStr">
        <is>
          <t>جدول سداد القرض</t>
        </is>
      </c>
      <c r="B26" s="6" t="inlineStr">
        <is>
          <t>الوحدة</t>
        </is>
      </c>
      <c r="C26" s="36" t="n">
        <v>0</v>
      </c>
      <c r="D26" s="37" t="n">
        <v>1</v>
      </c>
      <c r="E26" s="37" t="n">
        <v>2</v>
      </c>
      <c r="F26" s="37" t="n">
        <v>3</v>
      </c>
      <c r="G26" s="37" t="n">
        <v>4</v>
      </c>
      <c r="H26" s="37" t="n">
        <v>5</v>
      </c>
      <c r="I26" s="6" t="inlineStr">
        <is>
          <t>الإجمالي</t>
        </is>
      </c>
    </row>
    <row r="27">
      <c r="A27" s="43" t="inlineStr">
        <is>
          <t>رصيد القرض أول السنة</t>
        </is>
      </c>
      <c r="B27" s="7" t="inlineStr">
        <is>
          <t>ر.ع</t>
        </is>
      </c>
      <c r="D27" s="11">
        <f>C31</f>
        <v>150000</v>
      </c>
      <c r="E27" s="11">
        <f>D31</f>
        <v>123390.539935322</v>
      </c>
      <c r="F27" s="11">
        <f>E31</f>
        <v>95184.5122667624</v>
      </c>
      <c r="G27" s="11">
        <f>F31</f>
        <v>65286.1229380897</v>
      </c>
      <c r="H27" s="11">
        <f>G31</f>
        <v>33593.8302496966</v>
      </c>
    </row>
    <row r="28">
      <c r="A28" s="43" t="inlineStr">
        <is>
          <t>القسط السنوي (أصل + فائدة)</t>
        </is>
      </c>
      <c r="B28" s="7" t="inlineStr">
        <is>
          <t>ر.ع</t>
        </is>
      </c>
      <c r="D28" s="11">
        <f>IF(AND(D$26&lt;=LoanYrs,Loan&gt;0),-PMT(LoanRate,LoanYrs,Loan),0)</f>
        <v>35609.4600646784</v>
      </c>
      <c r="E28" s="11">
        <f>IF(AND(E$26&lt;=LoanYrs,Loan&gt;0),-PMT(LoanRate,LoanYrs,Loan),0)</f>
        <v>35609.4600646784</v>
      </c>
      <c r="F28" s="11">
        <f>IF(AND(F$26&lt;=LoanYrs,Loan&gt;0),-PMT(LoanRate,LoanYrs,Loan),0)</f>
        <v>35609.4600646784</v>
      </c>
      <c r="G28" s="11">
        <f>IF(AND(G$26&lt;=LoanYrs,Loan&gt;0),-PMT(LoanRate,LoanYrs,Loan),0)</f>
        <v>35609.4600646784</v>
      </c>
      <c r="H28" s="11">
        <f>IF(AND(H$26&lt;=LoanYrs,Loan&gt;0),-PMT(LoanRate,LoanYrs,Loan),0)</f>
        <v>35609.4600646784</v>
      </c>
      <c r="I28" s="12">
        <f>SUM(D28:H28)</f>
        <v>178047.300323392</v>
      </c>
    </row>
    <row r="29">
      <c r="A29" s="43" t="inlineStr">
        <is>
          <t>الفائدة</t>
        </is>
      </c>
      <c r="B29" s="7" t="inlineStr">
        <is>
          <t>ر.ع</t>
        </is>
      </c>
      <c r="D29" s="11">
        <f>D27*LoanRate</f>
        <v>9000</v>
      </c>
      <c r="E29" s="11">
        <f>E27*LoanRate</f>
        <v>7403.43239611929</v>
      </c>
      <c r="F29" s="11">
        <f>F27*LoanRate</f>
        <v>5711.07073600574</v>
      </c>
      <c r="G29" s="11">
        <f>G27*LoanRate</f>
        <v>3917.16737628538</v>
      </c>
      <c r="H29" s="11">
        <f>H27*LoanRate</f>
        <v>2015.6298149818</v>
      </c>
      <c r="I29" s="12">
        <f>SUM(D29:H29)</f>
        <v>28047.3003233922</v>
      </c>
    </row>
    <row r="30">
      <c r="A30" s="43" t="inlineStr">
        <is>
          <t>سداد أصل القرض</t>
        </is>
      </c>
      <c r="B30" s="7" t="inlineStr">
        <is>
          <t>ر.ع</t>
        </is>
      </c>
      <c r="D30" s="11">
        <f>D28-D29</f>
        <v>26609.4600646784</v>
      </c>
      <c r="E30" s="11">
        <f>E28-E29</f>
        <v>28206.0276685592</v>
      </c>
      <c r="F30" s="11">
        <f>F28-F29</f>
        <v>29898.3893286727</v>
      </c>
      <c r="G30" s="11">
        <f>G28-G29</f>
        <v>31692.2926883931</v>
      </c>
      <c r="H30" s="11">
        <f>H28-H29</f>
        <v>33593.8302496967</v>
      </c>
      <c r="I30" s="12">
        <f>SUM(D30:H30)</f>
        <v>150000</v>
      </c>
    </row>
    <row r="31">
      <c r="A31" s="43" t="inlineStr">
        <is>
          <t>رصيد القرض آخر السنة</t>
        </is>
      </c>
      <c r="B31" s="7" t="inlineStr">
        <is>
          <t>ر.ع</t>
        </is>
      </c>
      <c r="C31" s="11">
        <f>Loan</f>
        <v>150000</v>
      </c>
      <c r="D31" s="11">
        <f>D27-D30</f>
        <v>123390.539935322</v>
      </c>
      <c r="E31" s="11">
        <f>E27-E30</f>
        <v>95184.5122667624</v>
      </c>
      <c r="F31" s="11">
        <f>F27-F30</f>
        <v>65286.1229380897</v>
      </c>
      <c r="G31" s="11">
        <f>G27-G30</f>
        <v>33593.8302496966</v>
      </c>
      <c r="H31" s="11">
        <f>H27-H30</f>
        <v>0</v>
      </c>
    </row>
  </sheetData>
  <pageMargins left="0.3888888888888889" right="0.3888888888888889" top="0.5" bottom="0.5" header="0.3" footer="0.3"/>
  <pageSetup orientation="landscape" paperSize="9" scale="61" fitToHeight="0" verticalDpi="0"/>
  <headerFooter>
    <oddHeader/>
    <oddFooter>&amp;C&amp;P / &amp;N</oddFooter>
    <evenHeader/>
    <evenFooter/>
    <firstHeader/>
    <firstFooter/>
  </headerFooter>
</worksheet>
</file>

<file path=xl/worksheets/sheet17.xml><?xml version="1.0" encoding="utf-8"?>
<worksheet xmlns="http://schemas.openxmlformats.org/spreadsheetml/2006/main">
  <sheetPr>
    <tabColor rgb="FF002060"/>
    <outlinePr summaryBelow="1" summaryRight="1"/>
    <pageSetUpPr fitToPage="1"/>
  </sheetPr>
  <dimension ref="A1:I23"/>
  <sheetViews>
    <sheetView showGridLines="0" rightToLeft="1" zoomScale="90" zoomScaleNormal="90" workbookViewId="0">
      <pane xSplit="2" ySplit="4" topLeftCell="C5" activePane="bottomRight" state="frozen"/>
      <selection pane="topRight" activeCell="C1" sqref="C1"/>
      <selection pane="bottomLeft" activeCell="A5" sqref="A5"/>
      <selection pane="bottomRight" activeCell="A1" sqref="A1"/>
    </sheetView>
  </sheetViews>
  <sheetFormatPr baseColWidth="8" defaultRowHeight="12.75"/>
  <cols>
    <col width="48.7109375" customWidth="1" style="1" min="1" max="1"/>
    <col width="14.7109375" customWidth="1" style="1" min="2" max="2"/>
    <col width="13.7109375" customWidth="1" style="1" min="3" max="14"/>
    <col width="9.140625" customWidth="1" style="1" min="15" max="16384"/>
  </cols>
  <sheetData>
    <row r="1" ht="20.25" customHeight="1">
      <c r="A1" s="3" t="inlineStr">
        <is>
          <t>قائمة الدخل التقديرية</t>
        </is>
      </c>
    </row>
    <row r="2">
      <c r="A2" s="5" t="inlineStr">
        <is>
          <t>خمس سنوات تشغيل — بالريال العُماني</t>
        </is>
      </c>
    </row>
    <row r="4">
      <c r="A4" s="6" t="inlineStr">
        <is>
          <t>البند</t>
        </is>
      </c>
      <c r="B4" s="6" t="inlineStr">
        <is>
          <t>الوحدة</t>
        </is>
      </c>
      <c r="C4" s="36" t="n">
        <v>0</v>
      </c>
      <c r="D4" s="37" t="n">
        <v>1</v>
      </c>
      <c r="E4" s="37" t="n">
        <v>2</v>
      </c>
      <c r="F4" s="37" t="n">
        <v>3</v>
      </c>
      <c r="G4" s="37" t="n">
        <v>4</v>
      </c>
      <c r="H4" s="37" t="n">
        <v>5</v>
      </c>
      <c r="I4" s="6" t="inlineStr">
        <is>
          <t>الإجمالي</t>
        </is>
      </c>
    </row>
    <row r="5">
      <c r="A5" s="43" t="inlineStr">
        <is>
          <t>الإيرادات</t>
        </is>
      </c>
      <c r="B5" s="7" t="inlineStr">
        <is>
          <t>ر.ع</t>
        </is>
      </c>
      <c r="D5" s="11">
        <f>الإيرادات!D7</f>
        <v>2319600</v>
      </c>
      <c r="E5" s="11">
        <f>الإيرادات!E7</f>
        <v>2319600</v>
      </c>
      <c r="F5" s="11">
        <f>الإيرادات!F7</f>
        <v>2319600</v>
      </c>
      <c r="G5" s="11">
        <f>الإيرادات!G7</f>
        <v>2319600</v>
      </c>
      <c r="H5" s="11">
        <f>الإيرادات!H7</f>
        <v>2319600</v>
      </c>
      <c r="I5" s="12">
        <f>SUM(D5:H5)</f>
        <v>11598000</v>
      </c>
    </row>
    <row r="6">
      <c r="A6" s="43" t="inlineStr">
        <is>
          <t>التكاليف الثابتة</t>
        </is>
      </c>
      <c r="B6" s="7" t="inlineStr">
        <is>
          <t>ر.ع</t>
        </is>
      </c>
      <c r="D6" s="11">
        <f>'التكاليف التشغيلية'!D24</f>
        <v>135436.12</v>
      </c>
      <c r="E6" s="11">
        <f>'التكاليف التشغيلية'!E24</f>
        <v>139142.3618</v>
      </c>
      <c r="F6" s="11">
        <f>'التكاليف التشغيلية'!F24</f>
        <v>140420.686477</v>
      </c>
      <c r="G6" s="11">
        <f>'التكاليف التشغيلية'!G24</f>
        <v>145174.177662905</v>
      </c>
      <c r="H6" s="11">
        <f>'التكاليف التشغيلية'!H24</f>
        <v>145584.870327849</v>
      </c>
      <c r="I6" s="12">
        <f>SUM(D6:H6)</f>
        <v>705758.216267753</v>
      </c>
    </row>
    <row r="7">
      <c r="A7" s="43" t="inlineStr">
        <is>
          <t>التكاليف المتغيرة (إيجار الحفارات والمواد المستهلكة)</t>
        </is>
      </c>
      <c r="B7" s="7" t="inlineStr">
        <is>
          <t>ر.ع</t>
        </is>
      </c>
      <c r="D7" s="11">
        <f>'التكاليف التشغيلية'!D26+'التكاليف التشغيلية'!D27</f>
        <v>208506.024</v>
      </c>
      <c r="E7" s="11">
        <f>'التكاليف التشغيلية'!E26+'التكاليف التشغيلية'!E27</f>
        <v>232796.975796</v>
      </c>
      <c r="F7" s="11">
        <f>'التكاليف التشغيلية'!F26+'التكاليف التشغيلية'!F27</f>
        <v>257769.74229048</v>
      </c>
      <c r="G7" s="11">
        <f>'التكاليف التشغيلية'!G26+'التكاليف التشغيلية'!G27</f>
        <v>283439.31246024</v>
      </c>
      <c r="H7" s="11">
        <f>'التكاليف التشغيلية'!H26+'التكاليف التشغيلية'!H27</f>
        <v>309820.971543078</v>
      </c>
      <c r="I7" s="12">
        <f>SUM(D7:H7)</f>
        <v>1292333.0260898</v>
      </c>
    </row>
    <row r="8">
      <c r="A8" s="43" t="inlineStr">
        <is>
          <t>الإتاوة ومساهمة تنمية المجتمع</t>
        </is>
      </c>
      <c r="B8" s="7" t="inlineStr">
        <is>
          <t>ر.ع</t>
        </is>
      </c>
      <c r="D8" s="11">
        <f>'التكاليف التشغيلية'!D28+'التكاليف التشغيلية'!D29</f>
        <v>139176</v>
      </c>
      <c r="E8" s="11">
        <f>'التكاليف التشغيلية'!E28+'التكاليف التشغيلية'!E29</f>
        <v>139176</v>
      </c>
      <c r="F8" s="11">
        <f>'التكاليف التشغيلية'!F28+'التكاليف التشغيلية'!F29</f>
        <v>139176</v>
      </c>
      <c r="G8" s="11">
        <f>'التكاليف التشغيلية'!G28+'التكاليف التشغيلية'!G29</f>
        <v>139176</v>
      </c>
      <c r="H8" s="11">
        <f>'التكاليف التشغيلية'!H28+'التكاليف التشغيلية'!H29</f>
        <v>139176</v>
      </c>
      <c r="I8" s="12">
        <f>SUM(D8:H8)</f>
        <v>695880</v>
      </c>
    </row>
    <row r="9">
      <c r="A9" s="32" t="inlineStr">
        <is>
          <t>إجمالي التكاليف التشغيلية</t>
        </is>
      </c>
      <c r="B9" s="7" t="inlineStr">
        <is>
          <t>ر.ع</t>
        </is>
      </c>
      <c r="D9" s="12">
        <f>SUM(D6:D8)</f>
        <v>483118.144</v>
      </c>
      <c r="E9" s="12">
        <f>SUM(E6:E8)</f>
        <v>511115.337596</v>
      </c>
      <c r="F9" s="12">
        <f>SUM(F6:F8)</f>
        <v>537366.42876748</v>
      </c>
      <c r="G9" s="12">
        <f>SUM(G6:G8)</f>
        <v>567789.490123145</v>
      </c>
      <c r="H9" s="12">
        <f>SUM(H6:H8)</f>
        <v>594581.841870927</v>
      </c>
      <c r="I9" s="12">
        <f>SUM(D9:H9)</f>
        <v>2693971.24235755</v>
      </c>
    </row>
    <row r="10">
      <c r="A10" s="32" t="inlineStr">
        <is>
          <t>الربح قبل الفوائد والضرائب والإهلاك (EBITDA)</t>
        </is>
      </c>
      <c r="B10" s="7" t="inlineStr">
        <is>
          <t>ر.ع</t>
        </is>
      </c>
      <c r="D10" s="13">
        <f>D5-D9</f>
        <v>1836481.856</v>
      </c>
      <c r="E10" s="13">
        <f>E5-E9</f>
        <v>1808484.662404</v>
      </c>
      <c r="F10" s="13">
        <f>F5-F9</f>
        <v>1782233.57123252</v>
      </c>
      <c r="G10" s="13">
        <f>G5-G9</f>
        <v>1751810.50987685</v>
      </c>
      <c r="H10" s="13">
        <f>H5-H9</f>
        <v>1725018.15812907</v>
      </c>
      <c r="I10" s="12">
        <f>SUM(D10:H10)</f>
        <v>8904028.75764245</v>
      </c>
    </row>
    <row r="11">
      <c r="A11" s="43" t="inlineStr">
        <is>
          <t>الإهلاك</t>
        </is>
      </c>
      <c r="B11" s="7" t="inlineStr">
        <is>
          <t>ر.ع</t>
        </is>
      </c>
      <c r="D11" s="11">
        <f>'الأصول والإهلاك'!D19</f>
        <v>13217.1428571429</v>
      </c>
      <c r="E11" s="11">
        <f>'الأصول والإهلاك'!E19</f>
        <v>13217.1428571429</v>
      </c>
      <c r="F11" s="11">
        <f>'الأصول والإهلاك'!F19</f>
        <v>13217.1428571429</v>
      </c>
      <c r="G11" s="11">
        <f>'الأصول والإهلاك'!G19</f>
        <v>13217.1428571429</v>
      </c>
      <c r="H11" s="11">
        <f>'الأصول والإهلاك'!H19</f>
        <v>13217.1428571429</v>
      </c>
      <c r="I11" s="12">
        <f>SUM(D11:H11)</f>
        <v>66085.7142857143</v>
      </c>
    </row>
    <row r="12">
      <c r="A12" s="43" t="inlineStr">
        <is>
          <t>إطفاء مصاريف ما قبل التشغيل</t>
        </is>
      </c>
      <c r="B12" s="7" t="inlineStr">
        <is>
          <t>ر.ع</t>
        </is>
      </c>
      <c r="D12" s="11">
        <f>IF(D$4&lt;=AmortYrs,PreOp/AmortYrs,0)</f>
        <v>45645.6</v>
      </c>
      <c r="E12" s="11">
        <f>IF(E$4&lt;=AmortYrs,PreOp/AmortYrs,0)</f>
        <v>45645.6</v>
      </c>
      <c r="F12" s="11">
        <f>IF(F$4&lt;=AmortYrs,PreOp/AmortYrs,0)</f>
        <v>45645.6</v>
      </c>
      <c r="G12" s="11">
        <f>IF(G$4&lt;=AmortYrs,PreOp/AmortYrs,0)</f>
        <v>45645.6</v>
      </c>
      <c r="H12" s="11">
        <f>IF(H$4&lt;=AmortYrs,PreOp/AmortYrs,0)</f>
        <v>45645.6</v>
      </c>
      <c r="I12" s="12">
        <f>SUM(D12:H12)</f>
        <v>228228</v>
      </c>
    </row>
    <row r="13">
      <c r="A13" s="32" t="inlineStr">
        <is>
          <t>الربح التشغيلي (EBIT)</t>
        </is>
      </c>
      <c r="B13" s="7" t="inlineStr">
        <is>
          <t>ر.ع</t>
        </is>
      </c>
      <c r="D13" s="12">
        <f>D10-D11-D12</f>
        <v>1777619.11314286</v>
      </c>
      <c r="E13" s="12">
        <f>E10-E11-E12</f>
        <v>1749621.91954686</v>
      </c>
      <c r="F13" s="12">
        <f>F10-F11-F12</f>
        <v>1723370.82837538</v>
      </c>
      <c r="G13" s="12">
        <f>G10-G11-G12</f>
        <v>1692947.76701971</v>
      </c>
      <c r="H13" s="12">
        <f>H10-H11-H12</f>
        <v>1666155.41527193</v>
      </c>
      <c r="I13" s="12">
        <f>SUM(D13:H13)</f>
        <v>8609715.04335673</v>
      </c>
    </row>
    <row r="14">
      <c r="A14" s="43" t="inlineStr">
        <is>
          <t>فوائد القرض</t>
        </is>
      </c>
      <c r="B14" s="7" t="inlineStr">
        <is>
          <t>ر.ع</t>
        </is>
      </c>
      <c r="D14" s="11">
        <f>'التكلفة الاستثمارية والتمويل'!D29</f>
        <v>9000</v>
      </c>
      <c r="E14" s="11">
        <f>'التكلفة الاستثمارية والتمويل'!E29</f>
        <v>7403.43239611929</v>
      </c>
      <c r="F14" s="11">
        <f>'التكلفة الاستثمارية والتمويل'!F29</f>
        <v>5711.07073600574</v>
      </c>
      <c r="G14" s="11">
        <f>'التكلفة الاستثمارية والتمويل'!G29</f>
        <v>3917.16737628538</v>
      </c>
      <c r="H14" s="11">
        <f>'التكلفة الاستثمارية والتمويل'!H29</f>
        <v>2015.6298149818</v>
      </c>
      <c r="I14" s="12">
        <f>SUM(D14:H14)</f>
        <v>28047.3003233922</v>
      </c>
    </row>
    <row r="15">
      <c r="A15" s="32" t="inlineStr">
        <is>
          <t>الربح قبل الضريبة</t>
        </is>
      </c>
      <c r="B15" s="7" t="inlineStr">
        <is>
          <t>ر.ع</t>
        </is>
      </c>
      <c r="D15" s="12">
        <f>D13-D14</f>
        <v>1768619.11314286</v>
      </c>
      <c r="E15" s="12">
        <f>E13-E14</f>
        <v>1742218.48715074</v>
      </c>
      <c r="F15" s="12">
        <f>F13-F14</f>
        <v>1717659.75763937</v>
      </c>
      <c r="G15" s="12">
        <f>G13-G14</f>
        <v>1689030.59964343</v>
      </c>
      <c r="H15" s="12">
        <f>H13-H14</f>
        <v>1664139.78545695</v>
      </c>
      <c r="I15" s="12">
        <f>SUM(D15:H15)</f>
        <v>8581667.74303334</v>
      </c>
    </row>
    <row r="16">
      <c r="A16" s="43" t="inlineStr">
        <is>
          <t>خسائر ضريبية مرحّلة أول السنة</t>
        </is>
      </c>
      <c r="B16" s="7" t="inlineStr">
        <is>
          <t>ر.ع</t>
        </is>
      </c>
      <c r="D16" s="11">
        <f>C17</f>
        <v>0</v>
      </c>
      <c r="E16" s="11">
        <f>D17</f>
        <v>0</v>
      </c>
      <c r="F16" s="11">
        <f>E17</f>
        <v>0</v>
      </c>
      <c r="G16" s="11">
        <f>F17</f>
        <v>0</v>
      </c>
      <c r="H16" s="11">
        <f>G17</f>
        <v>0</v>
      </c>
    </row>
    <row r="17">
      <c r="A17" s="43" t="inlineStr">
        <is>
          <t>خسائر ضريبية مرحّلة آخر السنة</t>
        </is>
      </c>
      <c r="B17" s="7" t="inlineStr">
        <is>
          <t>ر.ع</t>
        </is>
      </c>
      <c r="C17" s="11" t="n">
        <v>0</v>
      </c>
      <c r="D17" s="11">
        <f>MAX(0,D16-D15)</f>
        <v>0</v>
      </c>
      <c r="E17" s="11">
        <f>MAX(0,E16-E15)</f>
        <v>0</v>
      </c>
      <c r="F17" s="11">
        <f>MAX(0,F16-F15)</f>
        <v>0</v>
      </c>
      <c r="G17" s="11">
        <f>MAX(0,G16-G15)</f>
        <v>0</v>
      </c>
      <c r="H17" s="11">
        <f>MAX(0,H16-H15)</f>
        <v>0</v>
      </c>
    </row>
    <row r="18">
      <c r="A18" s="43" t="inlineStr">
        <is>
          <t>الوعاء الضريبي</t>
        </is>
      </c>
      <c r="B18" s="7" t="inlineStr">
        <is>
          <t>ر.ع</t>
        </is>
      </c>
      <c r="D18" s="11">
        <f>MAX(0,D15-D16)</f>
        <v>1768619.11314286</v>
      </c>
      <c r="E18" s="11">
        <f>MAX(0,E15-E16)</f>
        <v>1742218.48715074</v>
      </c>
      <c r="F18" s="11">
        <f>MAX(0,F15-F16)</f>
        <v>1717659.75763937</v>
      </c>
      <c r="G18" s="11">
        <f>MAX(0,G15-G16)</f>
        <v>1689030.59964343</v>
      </c>
      <c r="H18" s="11">
        <f>MAX(0,H15-H16)</f>
        <v>1664139.78545695</v>
      </c>
      <c r="I18" s="12">
        <f>SUM(D18:H18)</f>
        <v>8581667.74303334</v>
      </c>
    </row>
    <row r="19">
      <c r="A19" s="43" t="inlineStr">
        <is>
          <t>ضريبة الدخل</t>
        </is>
      </c>
      <c r="B19" s="7" t="inlineStr">
        <is>
          <t>ر.ع</t>
        </is>
      </c>
      <c r="D19" s="11">
        <f>D18*TaxRate</f>
        <v>265292.866971429</v>
      </c>
      <c r="E19" s="11">
        <f>E18*TaxRate</f>
        <v>261332.773072611</v>
      </c>
      <c r="F19" s="11">
        <f>F18*TaxRate</f>
        <v>257648.963645906</v>
      </c>
      <c r="G19" s="11">
        <f>G18*TaxRate</f>
        <v>253354.589946514</v>
      </c>
      <c r="H19" s="11">
        <f>H18*TaxRate</f>
        <v>249620.967818542</v>
      </c>
      <c r="I19" s="12">
        <f>SUM(D19:H19)</f>
        <v>1287250.161455</v>
      </c>
    </row>
    <row r="20">
      <c r="A20" s="32" t="inlineStr">
        <is>
          <t>صافي الربح بعد الضريبة</t>
        </is>
      </c>
      <c r="B20" s="7" t="inlineStr">
        <is>
          <t>ر.ع</t>
        </is>
      </c>
      <c r="D20" s="13">
        <f>D15-D19</f>
        <v>1503326.24617143</v>
      </c>
      <c r="E20" s="13">
        <f>E15-E19</f>
        <v>1480885.71407813</v>
      </c>
      <c r="F20" s="13">
        <f>F15-F19</f>
        <v>1460010.79399347</v>
      </c>
      <c r="G20" s="13">
        <f>G15-G19</f>
        <v>1435676.00969691</v>
      </c>
      <c r="H20" s="13">
        <f>H15-H19</f>
        <v>1414518.81763841</v>
      </c>
      <c r="I20" s="12">
        <f>SUM(D20:H20)</f>
        <v>7294417.58157834</v>
      </c>
    </row>
    <row r="21">
      <c r="A21" s="43" t="inlineStr">
        <is>
          <t>هامش EBITDA</t>
        </is>
      </c>
      <c r="B21" s="7" t="inlineStr">
        <is>
          <t>%</t>
        </is>
      </c>
      <c r="D21" s="17">
        <f>IF(D5&gt;0,D10/D5,0)</f>
        <v>0.791723510950164</v>
      </c>
      <c r="E21" s="17">
        <f>IF(E5&gt;0,E10/E5,0)</f>
        <v>0.779653674083463</v>
      </c>
      <c r="F21" s="17">
        <f>IF(F5&gt;0,F10/F5,0)</f>
        <v>0.768336597358389</v>
      </c>
      <c r="G21" s="17">
        <f>IF(G5&gt;0,G10/G5,0)</f>
        <v>0.755220947524079</v>
      </c>
      <c r="H21" s="17">
        <f>IF(H5&gt;0,H10/H5,0)</f>
        <v>0.743670528595048</v>
      </c>
      <c r="I21" s="17">
        <f>IF(I5&gt;0,I10/I5,0)</f>
        <v>0.767721051702229</v>
      </c>
    </row>
    <row r="22">
      <c r="A22" s="43" t="inlineStr">
        <is>
          <t>هامش صافي الربح</t>
        </is>
      </c>
      <c r="B22" s="7" t="inlineStr">
        <is>
          <t>%</t>
        </is>
      </c>
      <c r="D22" s="17">
        <f>IF(D5&gt;0,D20/D5,0)</f>
        <v>0.648097191831104</v>
      </c>
      <c r="E22" s="17">
        <f>IF(E5&gt;0,E20/E5,0)</f>
        <v>0.638422880702762</v>
      </c>
      <c r="F22" s="17">
        <f>IF(F5&gt;0,F20/F5,0)</f>
        <v>0.629423518707305</v>
      </c>
      <c r="G22" s="17">
        <f>IF(G5&gt;0,G20/G5,0)</f>
        <v>0.618932578762249</v>
      </c>
      <c r="H22" s="17">
        <f>IF(H5&gt;0,H20/H5,0)</f>
        <v>0.609811526831525</v>
      </c>
      <c r="I22" s="17">
        <f>IF(I5&gt;0,I20/I5,0)</f>
        <v>0.628937539366989</v>
      </c>
    </row>
    <row r="23">
      <c r="A23" s="5" t="inlineStr">
        <is>
          <t>ملاحظة: احتُسبت الضريبة على الربح المحاسبي (إهلاك القسط الثابت). الإهلاك الضريبي الفعلي للمعدات الثقيلة (33.33% رصيد متناقص) يؤجل جزءاً من الضريبة في السنوات الأولى.</t>
        </is>
      </c>
    </row>
  </sheetData>
  <pageMargins left="0.3888888888888889" right="0.3888888888888889" top="0.5" bottom="0.5" header="0.3" footer="0.3"/>
  <pageSetup orientation="landscape" paperSize="9" scale="62" fitToHeight="0" verticalDpi="0"/>
  <headerFooter>
    <oddHeader/>
    <oddFooter>&amp;C&amp;P / &amp;N</oddFooter>
    <evenHeader/>
    <evenFooter/>
    <firstHeader/>
    <firstFooter/>
  </headerFooter>
</worksheet>
</file>

<file path=xl/worksheets/sheet18.xml><?xml version="1.0" encoding="utf-8"?>
<worksheet xmlns="http://schemas.openxmlformats.org/spreadsheetml/2006/main">
  <sheetPr>
    <tabColor rgb="FF002060"/>
    <outlinePr summaryBelow="1" summaryRight="1"/>
    <pageSetUpPr fitToPage="1"/>
  </sheetPr>
  <dimension ref="A1:I27"/>
  <sheetViews>
    <sheetView showGridLines="0" rightToLeft="1" zoomScale="90" zoomScaleNormal="90" workbookViewId="0">
      <pane xSplit="2" ySplit="4" topLeftCell="C5" activePane="bottomRight" state="frozen"/>
      <selection pane="topRight" activeCell="C1" sqref="C1"/>
      <selection pane="bottomLeft" activeCell="A5" sqref="A5"/>
      <selection pane="bottomRight" activeCell="A1" sqref="A1"/>
    </sheetView>
  </sheetViews>
  <sheetFormatPr baseColWidth="8" defaultRowHeight="12.75"/>
  <cols>
    <col width="48.7109375" customWidth="1" style="1" min="1" max="1"/>
    <col width="14.7109375" customWidth="1" style="1" min="2" max="2"/>
    <col width="13.7109375" customWidth="1" style="1" min="3" max="14"/>
    <col width="9.140625" customWidth="1" style="1" min="15" max="16384"/>
  </cols>
  <sheetData>
    <row r="1" ht="20.25" customHeight="1">
      <c r="A1" s="3" t="inlineStr">
        <is>
          <t>قائمة التدفقات النقدية التقديرية</t>
        </is>
      </c>
    </row>
    <row r="2">
      <c r="A2" s="5" t="inlineStr">
        <is>
          <t>التدفقات الداخلة موجبة والخارجة سالبة — سنة التأسيس (0) ثم عشر سنوات تشغيل</t>
        </is>
      </c>
    </row>
    <row r="4">
      <c r="A4" s="6" t="inlineStr">
        <is>
          <t>البند</t>
        </is>
      </c>
      <c r="B4" s="6" t="inlineStr">
        <is>
          <t>الوحدة</t>
        </is>
      </c>
      <c r="C4" s="36" t="n">
        <v>0</v>
      </c>
      <c r="D4" s="37" t="n">
        <v>1</v>
      </c>
      <c r="E4" s="37" t="n">
        <v>2</v>
      </c>
      <c r="F4" s="37" t="n">
        <v>3</v>
      </c>
      <c r="G4" s="37" t="n">
        <v>4</v>
      </c>
      <c r="H4" s="37" t="n">
        <v>5</v>
      </c>
      <c r="I4" s="6" t="inlineStr">
        <is>
          <t>الإجمالي</t>
        </is>
      </c>
    </row>
    <row r="5">
      <c r="A5" s="15" t="inlineStr">
        <is>
          <t>أولاً: التدفقات النقدية للمشروع (قبل التمويل)</t>
        </is>
      </c>
      <c r="B5" s="15" t="n"/>
      <c r="C5" s="15" t="n"/>
      <c r="D5" s="15" t="n"/>
      <c r="E5" s="15" t="n"/>
      <c r="F5" s="15" t="n"/>
      <c r="G5" s="15" t="n"/>
      <c r="H5" s="15" t="n"/>
      <c r="I5" s="15" t="n"/>
    </row>
    <row r="6">
      <c r="A6" s="43" t="inlineStr">
        <is>
          <t>الإيرادات</t>
        </is>
      </c>
      <c r="B6" s="7" t="inlineStr">
        <is>
          <t>ر.ع</t>
        </is>
      </c>
      <c r="C6" s="11" t="n">
        <v>0</v>
      </c>
      <c r="D6" s="11">
        <f>الإيرادات!D7</f>
        <v>2319600</v>
      </c>
      <c r="E6" s="11">
        <f>الإيرادات!E7</f>
        <v>2319600</v>
      </c>
      <c r="F6" s="11">
        <f>الإيرادات!F7</f>
        <v>2319600</v>
      </c>
      <c r="G6" s="11">
        <f>الإيرادات!G7</f>
        <v>2319600</v>
      </c>
      <c r="H6" s="11">
        <f>الإيرادات!H7</f>
        <v>2319600</v>
      </c>
      <c r="I6" s="12">
        <f>SUM(C6:H6)</f>
        <v>11598000</v>
      </c>
    </row>
    <row r="7">
      <c r="A7" s="43" t="inlineStr">
        <is>
          <t>التكاليف التشغيلية النقدية</t>
        </is>
      </c>
      <c r="B7" s="7" t="inlineStr">
        <is>
          <t>ر.ع</t>
        </is>
      </c>
      <c r="C7" s="11" t="n">
        <v>0</v>
      </c>
      <c r="D7" s="11">
        <f>-'التكاليف التشغيلية'!D31</f>
        <v>-483118.144</v>
      </c>
      <c r="E7" s="11">
        <f>-'التكاليف التشغيلية'!E31</f>
        <v>-511115.337596</v>
      </c>
      <c r="F7" s="11">
        <f>-'التكاليف التشغيلية'!F31</f>
        <v>-537366.42876748</v>
      </c>
      <c r="G7" s="11">
        <f>-'التكاليف التشغيلية'!G31</f>
        <v>-567789.490123145</v>
      </c>
      <c r="H7" s="11">
        <f>-'التكاليف التشغيلية'!H31</f>
        <v>-594581.841870927</v>
      </c>
      <c r="I7" s="12">
        <f>SUM(C7:H7)</f>
        <v>-2693971.24235755</v>
      </c>
    </row>
    <row r="8">
      <c r="A8" s="43" t="inlineStr">
        <is>
          <t>ضريبة الدخل</t>
        </is>
      </c>
      <c r="B8" s="7" t="inlineStr">
        <is>
          <t>ر.ع</t>
        </is>
      </c>
      <c r="C8" s="11" t="n">
        <v>0</v>
      </c>
      <c r="D8" s="11">
        <f>-'قائمة الدخل'!D19</f>
        <v>-265292.866971429</v>
      </c>
      <c r="E8" s="11">
        <f>-'قائمة الدخل'!E19</f>
        <v>-261332.773072611</v>
      </c>
      <c r="F8" s="11">
        <f>-'قائمة الدخل'!F19</f>
        <v>-257648.963645906</v>
      </c>
      <c r="G8" s="11">
        <f>-'قائمة الدخل'!G19</f>
        <v>-253354.589946514</v>
      </c>
      <c r="H8" s="11">
        <f>-'قائمة الدخل'!H19</f>
        <v>-249620.967818542</v>
      </c>
      <c r="I8" s="12">
        <f>SUM(C8:H8)</f>
        <v>-1287250.161455</v>
      </c>
    </row>
    <row r="9">
      <c r="A9" s="43" t="inlineStr">
        <is>
          <t>الأصول الثابتة واستبدالها</t>
        </is>
      </c>
      <c r="B9" s="7" t="inlineStr">
        <is>
          <t>ر.ع</t>
        </is>
      </c>
      <c r="C9" s="11">
        <f>-FixedAssets</f>
        <v>-100500</v>
      </c>
      <c r="D9" s="11">
        <f>-'الأصول والإهلاك'!D20</f>
        <v>0</v>
      </c>
      <c r="E9" s="11">
        <f>-'الأصول والإهلاك'!E20</f>
        <v>0</v>
      </c>
      <c r="F9" s="11">
        <f>-'الأصول والإهلاك'!F20</f>
        <v>0</v>
      </c>
      <c r="G9" s="11">
        <f>-'الأصول والإهلاك'!G20</f>
        <v>0</v>
      </c>
      <c r="H9" s="11">
        <f>-'الأصول والإهلاك'!H20</f>
        <v>0</v>
      </c>
      <c r="I9" s="12">
        <f>SUM(C9:H9)</f>
        <v>-100500</v>
      </c>
    </row>
    <row r="10">
      <c r="A10" s="43" t="inlineStr">
        <is>
          <t>مصاريف ما قبل التشغيل</t>
        </is>
      </c>
      <c r="B10" s="7" t="inlineStr">
        <is>
          <t>ر.ع</t>
        </is>
      </c>
      <c r="C10" s="11">
        <f>-PreOp</f>
        <v>-228228</v>
      </c>
      <c r="D10" s="11" t="n">
        <v>0</v>
      </c>
      <c r="E10" s="11" t="n">
        <v>0</v>
      </c>
      <c r="F10" s="11" t="n">
        <v>0</v>
      </c>
      <c r="G10" s="11" t="n">
        <v>0</v>
      </c>
      <c r="H10" s="11" t="n">
        <v>0</v>
      </c>
      <c r="I10" s="12">
        <f>SUM(C10:H10)</f>
        <v>-228228</v>
      </c>
    </row>
    <row r="11">
      <c r="A11" s="43" t="inlineStr">
        <is>
          <t>الضمانات البنكية (إيداع / استرداد)</t>
        </is>
      </c>
      <c r="B11" s="7" t="inlineStr">
        <is>
          <t>ر.ع</t>
        </is>
      </c>
      <c r="C11" s="11">
        <f>-BankGuar</f>
        <v>-55000</v>
      </c>
      <c r="D11" s="11" t="n">
        <v>0</v>
      </c>
      <c r="E11" s="11" t="n">
        <v>0</v>
      </c>
      <c r="F11" s="11" t="n">
        <v>0</v>
      </c>
      <c r="G11" s="11" t="n">
        <v>0</v>
      </c>
      <c r="H11" s="11">
        <f>BankGuar</f>
        <v>55000</v>
      </c>
      <c r="I11" s="12">
        <f>SUM(C11:H11)</f>
        <v>0</v>
      </c>
    </row>
    <row r="12">
      <c r="A12" s="43" t="inlineStr">
        <is>
          <t>رأس المال العامل (تكوين / استرداد)</t>
        </is>
      </c>
      <c r="B12" s="7" t="inlineStr">
        <is>
          <t>ر.ع</t>
        </is>
      </c>
      <c r="C12" s="11">
        <f>-WorkCap</f>
        <v>-120779.536</v>
      </c>
      <c r="D12" s="11" t="n">
        <v>0</v>
      </c>
      <c r="E12" s="11" t="n">
        <v>0</v>
      </c>
      <c r="F12" s="11" t="n">
        <v>0</v>
      </c>
      <c r="G12" s="11" t="n">
        <v>0</v>
      </c>
      <c r="H12" s="11">
        <f>WorkCap</f>
        <v>120779.536</v>
      </c>
      <c r="I12" s="12">
        <f>SUM(C12:H12)</f>
        <v>0</v>
      </c>
    </row>
    <row r="13">
      <c r="A13" s="43" t="inlineStr">
        <is>
          <t>القيمة التخريدية للأصول (صافي القيمة الدفترية)</t>
        </is>
      </c>
      <c r="B13" s="7" t="inlineStr">
        <is>
          <t>ر.ع</t>
        </is>
      </c>
      <c r="C13" s="11" t="n">
        <v>0</v>
      </c>
      <c r="D13" s="11" t="n">
        <v>0</v>
      </c>
      <c r="E13" s="11" t="n">
        <v>0</v>
      </c>
      <c r="F13" s="11" t="n">
        <v>0</v>
      </c>
      <c r="G13" s="11" t="n">
        <v>0</v>
      </c>
      <c r="H13" s="11">
        <f>'الأصول والإهلاك'!H23</f>
        <v>34414.2857142857</v>
      </c>
      <c r="I13" s="12">
        <f>SUM(C13:H13)</f>
        <v>34414.2857142857</v>
      </c>
    </row>
    <row r="14">
      <c r="A14" s="32" t="inlineStr">
        <is>
          <t>صافي التدفق النقدي للمشروع</t>
        </is>
      </c>
      <c r="B14" s="7" t="inlineStr">
        <is>
          <t>ر.ع</t>
        </is>
      </c>
      <c r="C14" s="13">
        <f>SUM(C6:C13)</f>
        <v>-504507.536</v>
      </c>
      <c r="D14" s="13">
        <f>SUM(D6:D13)</f>
        <v>1571188.98902857</v>
      </c>
      <c r="E14" s="13">
        <f>SUM(E6:E13)</f>
        <v>1547151.88933139</v>
      </c>
      <c r="F14" s="13">
        <f>SUM(F6:F13)</f>
        <v>1524584.60758661</v>
      </c>
      <c r="G14" s="13">
        <f>SUM(G6:G13)</f>
        <v>1498455.91993034</v>
      </c>
      <c r="H14" s="13">
        <f>SUM(H6:H13)</f>
        <v>1685591.01202482</v>
      </c>
      <c r="I14" s="12">
        <f>SUM(C14:H14)</f>
        <v>7322464.88190173</v>
      </c>
    </row>
    <row r="15">
      <c r="A15" s="43" t="inlineStr">
        <is>
          <t>التدفق النقدي التراكمي</t>
        </is>
      </c>
      <c r="B15" s="7" t="inlineStr">
        <is>
          <t>ر.ع</t>
        </is>
      </c>
      <c r="C15" s="11">
        <f>C14</f>
        <v>-504507.536</v>
      </c>
      <c r="D15" s="11">
        <f>C15+D14</f>
        <v>1066681.45302857</v>
      </c>
      <c r="E15" s="11">
        <f>D15+E14</f>
        <v>2613833.34235996</v>
      </c>
      <c r="F15" s="11">
        <f>E15+F14</f>
        <v>4138417.94994658</v>
      </c>
      <c r="G15" s="11">
        <f>F15+G14</f>
        <v>5636873.86987692</v>
      </c>
      <c r="H15" s="11">
        <f>G15+H14</f>
        <v>7322464.88190173</v>
      </c>
    </row>
    <row r="16">
      <c r="A16" s="43" t="inlineStr">
        <is>
          <t>معامل الخصم</t>
        </is>
      </c>
      <c r="B16" s="7" t="inlineStr">
        <is>
          <t>معامل</t>
        </is>
      </c>
      <c r="C16" s="18">
        <f>1/(1+DiscRate)^C$4</f>
        <v>1</v>
      </c>
      <c r="D16" s="18">
        <f>1/(1+DiscRate)^D$4</f>
        <v>0.892857142857143</v>
      </c>
      <c r="E16" s="18">
        <f>1/(1+DiscRate)^E$4</f>
        <v>0.79719387755102</v>
      </c>
      <c r="F16" s="18">
        <f>1/(1+DiscRate)^F$4</f>
        <v>0.711780247813411</v>
      </c>
      <c r="G16" s="18">
        <f>1/(1+DiscRate)^G$4</f>
        <v>0.635518078404831</v>
      </c>
      <c r="H16" s="18">
        <f>1/(1+DiscRate)^H$4</f>
        <v>0.567426855718599</v>
      </c>
    </row>
    <row r="17">
      <c r="A17" s="43" t="inlineStr">
        <is>
          <t>التدفق النقدي المخصوم</t>
        </is>
      </c>
      <c r="B17" s="7" t="inlineStr">
        <is>
          <t>ر.ع</t>
        </is>
      </c>
      <c r="C17" s="11">
        <f>C14*C16</f>
        <v>-504507.536</v>
      </c>
      <c r="D17" s="11">
        <f>D14*D16</f>
        <v>1402847.31163265</v>
      </c>
      <c r="E17" s="11">
        <f>E14*E16</f>
        <v>1233380.01381648</v>
      </c>
      <c r="F17" s="11">
        <f>F14*F16</f>
        <v>1085169.20980051</v>
      </c>
      <c r="G17" s="11">
        <f>G14*G16</f>
        <v>952295.826808474</v>
      </c>
      <c r="H17" s="11">
        <f>H14*H16</f>
        <v>956449.607980773</v>
      </c>
      <c r="I17" s="12">
        <f>SUM(C17:H17)</f>
        <v>5125634.43403889</v>
      </c>
    </row>
    <row r="18">
      <c r="A18" s="43" t="inlineStr">
        <is>
          <t>التدفق المخصوم التراكمي</t>
        </is>
      </c>
      <c r="B18" s="7" t="inlineStr">
        <is>
          <t>ر.ع</t>
        </is>
      </c>
      <c r="C18" s="11">
        <f>C17</f>
        <v>-504507.536</v>
      </c>
      <c r="D18" s="11">
        <f>C18+D17</f>
        <v>898339.775632653</v>
      </c>
      <c r="E18" s="11">
        <f>D18+E17</f>
        <v>2131719.78944913</v>
      </c>
      <c r="F18" s="11">
        <f>E18+F17</f>
        <v>3216888.99924964</v>
      </c>
      <c r="G18" s="11">
        <f>F18+G17</f>
        <v>4169184.82605812</v>
      </c>
      <c r="H18" s="11">
        <f>G18+H17</f>
        <v>5125634.43403889</v>
      </c>
    </row>
    <row r="19">
      <c r="A19" s="15" t="inlineStr">
        <is>
          <t>ثانياً: التدفقات باستبعاد المصاريف المدفوعة سابقاً (الاستثمار الجديد فقط)</t>
        </is>
      </c>
      <c r="B19" s="15" t="n"/>
      <c r="C19" s="15" t="n"/>
      <c r="D19" s="15" t="n"/>
      <c r="E19" s="15" t="n"/>
      <c r="F19" s="15" t="n"/>
      <c r="G19" s="15" t="n"/>
      <c r="H19" s="15" t="n"/>
      <c r="I19" s="15" t="n"/>
    </row>
    <row r="20">
      <c r="A20" s="43" t="inlineStr">
        <is>
          <t>صافي التدفق النقدي — الاستثمار الجديد</t>
        </is>
      </c>
      <c r="B20" s="7" t="inlineStr">
        <is>
          <t>ر.ع</t>
        </is>
      </c>
      <c r="C20" s="11">
        <f>C14+SunkCost</f>
        <v>-304507.536</v>
      </c>
      <c r="D20" s="11">
        <f>D14</f>
        <v>1571188.98902857</v>
      </c>
      <c r="E20" s="11">
        <f>E14</f>
        <v>1547151.88933139</v>
      </c>
      <c r="F20" s="11">
        <f>F14</f>
        <v>1524584.60758661</v>
      </c>
      <c r="G20" s="11">
        <f>G14</f>
        <v>1498455.91993034</v>
      </c>
      <c r="H20" s="11">
        <f>H14</f>
        <v>1685591.01202482</v>
      </c>
      <c r="I20" s="12">
        <f>SUM(C20:H20)</f>
        <v>7522464.88190173</v>
      </c>
    </row>
    <row r="21">
      <c r="A21" s="15" t="inlineStr">
        <is>
          <t>ثالثاً: التمويل والتدفقات للمالك</t>
        </is>
      </c>
      <c r="B21" s="15" t="n"/>
      <c r="C21" s="15" t="n"/>
      <c r="D21" s="15" t="n"/>
      <c r="E21" s="15" t="n"/>
      <c r="F21" s="15" t="n"/>
      <c r="G21" s="15" t="n"/>
      <c r="H21" s="15" t="n"/>
      <c r="I21" s="15" t="n"/>
    </row>
    <row r="22">
      <c r="A22" s="43" t="inlineStr">
        <is>
          <t>سحب القرض</t>
        </is>
      </c>
      <c r="B22" s="7" t="inlineStr">
        <is>
          <t>ر.ع</t>
        </is>
      </c>
      <c r="C22" s="11">
        <f>Loan</f>
        <v>150000</v>
      </c>
      <c r="D22" s="11" t="n">
        <v>0</v>
      </c>
      <c r="E22" s="11" t="n">
        <v>0</v>
      </c>
      <c r="F22" s="11" t="n">
        <v>0</v>
      </c>
      <c r="G22" s="11" t="n">
        <v>0</v>
      </c>
      <c r="H22" s="11" t="n">
        <v>0</v>
      </c>
      <c r="I22" s="12">
        <f>SUM(C22:H22)</f>
        <v>150000</v>
      </c>
    </row>
    <row r="23">
      <c r="A23" s="43" t="inlineStr">
        <is>
          <t>سداد أصل القرض</t>
        </is>
      </c>
      <c r="B23" s="7" t="inlineStr">
        <is>
          <t>ر.ع</t>
        </is>
      </c>
      <c r="C23" s="11" t="n">
        <v>0</v>
      </c>
      <c r="D23" s="11">
        <f>-'التكلفة الاستثمارية والتمويل'!D30</f>
        <v>-26609.4600646784</v>
      </c>
      <c r="E23" s="11">
        <f>-'التكلفة الاستثمارية والتمويل'!E30</f>
        <v>-28206.0276685592</v>
      </c>
      <c r="F23" s="11">
        <f>-'التكلفة الاستثمارية والتمويل'!F30</f>
        <v>-29898.3893286727</v>
      </c>
      <c r="G23" s="11">
        <f>-'التكلفة الاستثمارية والتمويل'!G30</f>
        <v>-31692.2926883931</v>
      </c>
      <c r="H23" s="11">
        <f>-'التكلفة الاستثمارية والتمويل'!H30</f>
        <v>-33593.8302496967</v>
      </c>
      <c r="I23" s="12">
        <f>SUM(C23:H23)</f>
        <v>-150000</v>
      </c>
    </row>
    <row r="24">
      <c r="A24" s="43" t="inlineStr">
        <is>
          <t>فوائد القرض</t>
        </is>
      </c>
      <c r="B24" s="7" t="inlineStr">
        <is>
          <t>ر.ع</t>
        </is>
      </c>
      <c r="C24" s="11" t="n">
        <v>0</v>
      </c>
      <c r="D24" s="11">
        <f>-'التكلفة الاستثمارية والتمويل'!D29</f>
        <v>-9000</v>
      </c>
      <c r="E24" s="11">
        <f>-'التكلفة الاستثمارية والتمويل'!E29</f>
        <v>-7403.43239611929</v>
      </c>
      <c r="F24" s="11">
        <f>-'التكلفة الاستثمارية والتمويل'!F29</f>
        <v>-5711.07073600574</v>
      </c>
      <c r="G24" s="11">
        <f>-'التكلفة الاستثمارية والتمويل'!G29</f>
        <v>-3917.16737628538</v>
      </c>
      <c r="H24" s="11">
        <f>-'التكلفة الاستثمارية والتمويل'!H29</f>
        <v>-2015.6298149818</v>
      </c>
      <c r="I24" s="12">
        <f>SUM(C24:H24)</f>
        <v>-28047.3003233922</v>
      </c>
    </row>
    <row r="25">
      <c r="A25" s="32" t="inlineStr">
        <is>
          <t>صافي التدفق النقدي للمالك</t>
        </is>
      </c>
      <c r="B25" s="7" t="inlineStr">
        <is>
          <t>ر.ع</t>
        </is>
      </c>
      <c r="C25" s="13">
        <f>C14+C22+C23+C24</f>
        <v>-354507.536</v>
      </c>
      <c r="D25" s="13">
        <f>D14+D22+D23+D24</f>
        <v>1535579.52896389</v>
      </c>
      <c r="E25" s="13">
        <f>E14+E22+E23+E24</f>
        <v>1511542.42926671</v>
      </c>
      <c r="F25" s="13">
        <f>F14+F22+F23+F24</f>
        <v>1488975.14752194</v>
      </c>
      <c r="G25" s="13">
        <f>G14+G22+G23+G24</f>
        <v>1462846.45986566</v>
      </c>
      <c r="H25" s="13">
        <f>H14+H22+H23+H24</f>
        <v>1649981.55196014</v>
      </c>
      <c r="I25" s="12">
        <f>SUM(C25:H25)</f>
        <v>7294417.58157834</v>
      </c>
    </row>
    <row r="26">
      <c r="A26" s="43" t="inlineStr">
        <is>
          <t>الرصيد النقدي التراكمي للمالك</t>
        </is>
      </c>
      <c r="B26" s="7" t="inlineStr">
        <is>
          <t>ر.ع</t>
        </is>
      </c>
      <c r="C26" s="11">
        <f>C25</f>
        <v>-354507.536</v>
      </c>
      <c r="D26" s="11">
        <f>C26+D25</f>
        <v>1181071.99296389</v>
      </c>
      <c r="E26" s="11">
        <f>D26+E25</f>
        <v>2692614.4222306</v>
      </c>
      <c r="F26" s="11">
        <f>E26+F25</f>
        <v>4181589.56975254</v>
      </c>
      <c r="G26" s="11">
        <f>F26+G25</f>
        <v>5644436.0296182</v>
      </c>
      <c r="H26" s="11">
        <f>G26+H25</f>
        <v>7294417.58157834</v>
      </c>
    </row>
    <row r="27">
      <c r="A27" s="43" t="inlineStr">
        <is>
          <t>معدل تغطية خدمة الدين (DSCR)</t>
        </is>
      </c>
      <c r="B27" s="7" t="inlineStr">
        <is>
          <t>مرة</t>
        </is>
      </c>
      <c r="D27" s="18">
        <f>IF('التكلفة الاستثمارية والتمويل'!D28&gt;0,('قائمة الدخل'!D10-'قائمة الدخل'!D19)/'التكلفة الاستثمارية والتمويل'!D28,"")</f>
        <v>44.1227973177571</v>
      </c>
      <c r="E27" s="18">
        <f>IF('التكلفة الاستثمارية والتمويل'!E28&gt;0,('قائمة الدخل'!E10-'قائمة الدخل'!E19)/'التكلفة الاستثمارية والتمويل'!E28,"")</f>
        <v>43.4477772625941</v>
      </c>
      <c r="F27" s="18">
        <f>IF('التكلفة الاستثمارية والتمويل'!F28&gt;0,('قائمة الدخل'!F10-'قائمة الدخل'!F19)/'التكلفة الاستثمارية والتمويل'!F28,"")</f>
        <v>42.8140332601918</v>
      </c>
      <c r="G27" s="18">
        <f>IF('التكلفة الاستثمارية والتمويل'!G28&gt;0,('قائمة الدخل'!G10-'قائمة الدخل'!G19)/'التكلفة الاستثمارية والتمويل'!G28,"")</f>
        <v>42.0802763425408</v>
      </c>
      <c r="H27" s="18">
        <f>IF('التكلفة الاستثمارية والتمويل'!H28&gt;0,('قائمة الدخل'!H10-'قائمة الدخل'!H19)/'التكلفة الاستثمارية والتمويل'!H28,"")</f>
        <v>41.4327312919299</v>
      </c>
    </row>
  </sheetData>
  <conditionalFormatting sqref="C14:M15">
    <cfRule type="expression" priority="1" dxfId="6" stopIfTrue="1">
      <formula>C14&lt;0</formula>
    </cfRule>
  </conditionalFormatting>
  <conditionalFormatting sqref="C25:M26">
    <cfRule type="expression" priority="2" dxfId="6" stopIfTrue="1">
      <formula>C25&lt;0</formula>
    </cfRule>
  </conditionalFormatting>
  <pageMargins left="0.3888888888888889" right="0.3888888888888889" top="0.5" bottom="0.5" header="0.3" footer="0.3"/>
  <pageSetup orientation="landscape" paperSize="9" scale="62" fitToHeight="0" verticalDpi="0"/>
  <headerFooter>
    <oddHeader/>
    <oddFooter>&amp;C&amp;P / &amp;N</oddFooter>
    <evenHeader/>
    <evenFooter/>
    <firstHeader/>
    <firstFooter/>
  </headerFooter>
</worksheet>
</file>

<file path=xl/worksheets/sheet19.xml><?xml version="1.0" encoding="utf-8"?>
<worksheet xmlns="http://schemas.openxmlformats.org/spreadsheetml/2006/main">
  <sheetPr>
    <tabColor rgb="FF002060"/>
    <outlinePr summaryBelow="1" summaryRight="1"/>
    <pageSetUpPr fitToPage="1"/>
  </sheetPr>
  <dimension ref="A1:D31"/>
  <sheetViews>
    <sheetView showGridLines="0" rightToLeft="1" zoomScale="90" zoomScaleNormal="90" workbookViewId="0">
      <selection activeCell="A1" sqref="A1"/>
    </sheetView>
  </sheetViews>
  <sheetFormatPr baseColWidth="8" defaultRowHeight="12.75"/>
  <cols>
    <col width="52.7109375" customWidth="1" style="1" min="1" max="1"/>
    <col width="20.7109375" customWidth="1" style="1" min="2" max="2"/>
    <col width="16.7109375" customWidth="1" style="1" min="3" max="3"/>
    <col width="78.7109375" customWidth="1" style="1" min="4" max="4"/>
    <col width="9.140625" customWidth="1" style="1" min="5" max="16384"/>
  </cols>
  <sheetData>
    <row r="1" ht="20.25" customHeight="1">
      <c r="A1" s="3" t="inlineStr">
        <is>
          <t>مؤشرات الجدوى المالية</t>
        </is>
      </c>
    </row>
    <row r="2">
      <c r="A2" s="5" t="inlineStr">
        <is>
          <t>محتسبة من قائمة التدفقات النقدية وقائمة الدخل</t>
        </is>
      </c>
    </row>
    <row r="4">
      <c r="A4" s="6" t="inlineStr">
        <is>
          <t>المؤشر</t>
        </is>
      </c>
      <c r="B4" s="6" t="inlineStr">
        <is>
          <t>القيمة</t>
        </is>
      </c>
      <c r="C4" s="6" t="inlineStr">
        <is>
          <t>الوحدة</t>
        </is>
      </c>
      <c r="D4" s="6" t="inlineStr">
        <is>
          <t>التفسير</t>
        </is>
      </c>
    </row>
    <row r="5">
      <c r="A5" s="15" t="inlineStr">
        <is>
          <t>أولاً: على إجمالي الاستثمار (شاملاً المصاريف المدفوعة سابقاً)</t>
        </is>
      </c>
      <c r="B5" s="15" t="n"/>
      <c r="C5" s="15" t="n"/>
      <c r="D5" s="15" t="n"/>
    </row>
    <row r="6">
      <c r="A6" s="43" t="inlineStr">
        <is>
          <t>صافي القيمة الحالية (NPV)</t>
        </is>
      </c>
      <c r="B6" s="13">
        <f>'التدفقات النقدية'!C14+NPV(DiscRate,'التدفقات النقدية'!D14:H14)</f>
        <v>5125634.43403889</v>
      </c>
      <c r="C6" s="7" t="inlineStr">
        <is>
          <t>ر.ع</t>
        </is>
      </c>
      <c r="D6" s="16" t="inlineStr">
        <is>
          <t>موجب = المشروع يحقق عائداً أعلى من معدل الخصم</t>
        </is>
      </c>
    </row>
    <row r="7">
      <c r="A7" s="43" t="inlineStr">
        <is>
          <t>معدل العائد الداخلي (IRR)</t>
        </is>
      </c>
      <c r="B7" s="19">
        <f>IFERROR(IRR('التدفقات النقدية'!C14:H14),"غير محدد")</f>
        <v>3.09768202892893</v>
      </c>
      <c r="C7" s="7" t="inlineStr">
        <is>
          <t>%</t>
        </is>
      </c>
      <c r="D7" s="16" t="inlineStr">
        <is>
          <t>يُقارن بمعدل الخصم وبتكلفة التمويل</t>
        </is>
      </c>
    </row>
    <row r="8">
      <c r="A8" s="43" t="inlineStr">
        <is>
          <t>فترة الاسترداد</t>
        </is>
      </c>
      <c r="B8" s="20">
        <f>IFERROR(IF('التدفقات النقدية'!H15&lt;0,"لا يُسترد خلال مدة الدراسة",COUNTIF('التدفقات النقدية'!C15:H15,"&lt;0")-1+(-INDEX('التدفقات النقدية'!C15:H15,COUNTIF('التدفقات النقدية'!C15:H15,"&lt;0")))/INDEX('التدفقات النقدية'!C14:H14,COUNTIF('التدفقات النقدية'!C15:H15,"&lt;0")+1)),"غير محدد")</f>
        <v>0.321099205457088</v>
      </c>
      <c r="C8" s="7" t="inlineStr">
        <is>
          <t>سنة</t>
        </is>
      </c>
      <c r="D8" s="16" t="inlineStr">
        <is>
          <t>من بداية الإنتاج حتى استرداد كامل الاستثمار (غير مخصومة)</t>
        </is>
      </c>
    </row>
    <row r="9">
      <c r="A9" s="43" t="inlineStr">
        <is>
          <t>فترة الاسترداد المخصومة</t>
        </is>
      </c>
      <c r="B9" s="49">
        <f>IFERROR(IF('التدفقات النقدية'!H18&lt;0,"لا يُسترد خلال مدة الدراسة",COUNTIF('التدفقات النقدية'!C18:H18,"&lt;0")-1+(-INDEX('التدفقات النقدية'!C18:H18,COUNTIF('التدفقات النقدية'!C18:H18,"&lt;0")))/INDEX('التدفقات النقدية'!C17:H17,COUNTIF('التدفقات النقدية'!C18:H18,"&lt;0")+1)),"غير محدد")</f>
        <v>0.359631110111939</v>
      </c>
      <c r="C9" s="7" t="inlineStr">
        <is>
          <t>سنة</t>
        </is>
      </c>
      <c r="D9" s="16" t="inlineStr">
        <is>
          <t>بعد خصم التدفقات بمعدل الخصم</t>
        </is>
      </c>
    </row>
    <row r="10">
      <c r="A10" s="43" t="inlineStr">
        <is>
          <t>مؤشر الربحية (PI)</t>
        </is>
      </c>
      <c r="B10" s="48">
        <f>IF('التدفقات النقدية'!C14&lt;0,(B6-'التدفقات النقدية'!C14)/(-'التدفقات النقدية'!C14),0)</f>
        <v>11.1596786336981</v>
      </c>
      <c r="C10" s="7" t="inlineStr">
        <is>
          <t>مرة</t>
        </is>
      </c>
      <c r="D10" s="16" t="inlineStr">
        <is>
          <t>القيمة الحالية للتدفقات ÷ الاستثمار — أكبر من 1 = مجدٍ</t>
        </is>
      </c>
    </row>
    <row r="11">
      <c r="A11" s="15" t="inlineStr">
        <is>
          <t>ثانياً: على الاستثمار الجديد فقط (باستبعاد المصاريف المدفوعة سابقاً)</t>
        </is>
      </c>
      <c r="B11" s="15" t="n"/>
      <c r="C11" s="15" t="n"/>
      <c r="D11" s="15" t="n"/>
    </row>
    <row r="12">
      <c r="A12" s="43" t="inlineStr">
        <is>
          <t>صافي القيمة الحالية</t>
        </is>
      </c>
      <c r="B12" s="11">
        <f>'التدفقات النقدية'!C20+NPV(DiscRate,'التدفقات النقدية'!D20:H20)</f>
        <v>5325634.43403889</v>
      </c>
      <c r="C12" s="7" t="inlineStr">
        <is>
          <t>ر.ع</t>
        </is>
      </c>
      <c r="D12" s="16" t="inlineStr">
        <is>
          <t>المعيار الصحيح لقرار المضي في المشروع: المصاريف السابقة لا تُسترد سواء نُفّذ المشروع أم لا</t>
        </is>
      </c>
    </row>
    <row r="13">
      <c r="A13" s="43" t="inlineStr">
        <is>
          <t>معدل العائد الداخلي</t>
        </is>
      </c>
      <c r="B13" s="17">
        <f>IFERROR(IRR('التدفقات النقدية'!C20:H20),"غير محدد")</f>
        <v>5.14438954060749</v>
      </c>
      <c r="C13" s="7" t="inlineStr">
        <is>
          <t>%</t>
        </is>
      </c>
      <c r="D13" s="16" t="n"/>
    </row>
    <row r="14">
      <c r="A14" s="15" t="inlineStr">
        <is>
          <t>ثالثاً: للمالك وللممول</t>
        </is>
      </c>
      <c r="B14" s="15" t="n"/>
      <c r="C14" s="15" t="n"/>
      <c r="D14" s="15" t="n"/>
    </row>
    <row r="15">
      <c r="A15" s="43" t="inlineStr">
        <is>
          <t>معدل العائد الداخلي على حقوق الملكية</t>
        </is>
      </c>
      <c r="B15" s="17">
        <f>IFERROR(IRR('التدفقات النقدية'!C25:H25),"غير محدد")</f>
        <v>4.31565032541379</v>
      </c>
      <c r="C15" s="7" t="inlineStr">
        <is>
          <t>%</t>
        </is>
      </c>
      <c r="D15" s="16" t="inlineStr">
        <is>
          <t>بعد سحب القرض وسداده</t>
        </is>
      </c>
    </row>
    <row r="16">
      <c r="A16" s="43" t="inlineStr">
        <is>
          <t>أدنى معدل تغطية لخدمة الدين (DSCR)</t>
        </is>
      </c>
      <c r="B16" s="48">
        <f>IF(Loan&gt;0,MIN('التدفقات النقدية'!D27:H27),"لا يوجد قرض")</f>
        <v>41.4327312919299</v>
      </c>
      <c r="C16" s="7" t="inlineStr">
        <is>
          <t>مرة</t>
        </is>
      </c>
      <c r="D16" s="16" t="inlineStr">
        <is>
          <t>البنوك تشترط عادة 1.25 فأكثر</t>
        </is>
      </c>
    </row>
    <row r="17">
      <c r="A17" s="43" t="inlineStr">
        <is>
          <t>أدنى رصيد نقدي تراكمي للمالك بعد سنة التأسيس</t>
        </is>
      </c>
      <c r="B17" s="11">
        <f>MIN('التدفقات النقدية'!D26:H26)</f>
        <v>1181071.99296389</v>
      </c>
      <c r="C17" s="7" t="inlineStr">
        <is>
          <t>ر.ع</t>
        </is>
      </c>
      <c r="D17" s="16" t="n"/>
    </row>
    <row r="18">
      <c r="A18" s="15" t="inlineStr">
        <is>
          <t>رابعاً: الربحية</t>
        </is>
      </c>
      <c r="B18" s="15" t="n"/>
      <c r="C18" s="15" t="n"/>
      <c r="D18" s="15" t="n"/>
    </row>
    <row r="19">
      <c r="A19" s="43" t="inlineStr">
        <is>
          <t>متوسط صافي الربح السنوي</t>
        </is>
      </c>
      <c r="B19" s="11">
        <f>AVERAGE('قائمة الدخل'!D20:H20)</f>
        <v>1458883.51631567</v>
      </c>
      <c r="C19" s="7" t="inlineStr">
        <is>
          <t>ر.ع</t>
        </is>
      </c>
      <c r="D19" s="16" t="n"/>
    </row>
    <row r="20">
      <c r="A20" s="43" t="inlineStr">
        <is>
          <t>متوسط العائد على إجمالي الاستثمار (ROI)</t>
        </is>
      </c>
      <c r="B20" s="17">
        <f>B19/TotalInv</f>
        <v>2.89169816546738</v>
      </c>
      <c r="C20" s="7" t="inlineStr">
        <is>
          <t>%</t>
        </is>
      </c>
      <c r="D20" s="16" t="n"/>
    </row>
    <row r="21">
      <c r="A21" s="43" t="inlineStr">
        <is>
          <t>متوسط هامش EBITDA</t>
        </is>
      </c>
      <c r="B21" s="17">
        <f>'قائمة الدخل'!I21</f>
        <v>0.767721051702229</v>
      </c>
      <c r="C21" s="7" t="inlineStr">
        <is>
          <t>%</t>
        </is>
      </c>
      <c r="D21" s="16" t="inlineStr">
        <is>
          <t>للمقارنة: شركة تنمية معادن عُمان تستهدف هامشاً يفوق 20% من إنتاج الكروم</t>
        </is>
      </c>
    </row>
    <row r="22">
      <c r="A22" s="43" t="inlineStr">
        <is>
          <t>متوسط تكلفة الطن المباع</t>
        </is>
      </c>
      <c r="B22" s="18">
        <f>'التكاليف التشغيلية'!I32</f>
        <v>8.97990414119184</v>
      </c>
      <c r="C22" s="7" t="inlineStr">
        <is>
          <t>ر.ع / طن</t>
        </is>
      </c>
      <c r="D22" s="16" t="n"/>
    </row>
    <row r="23">
      <c r="A23" s="15" t="inlineStr">
        <is>
          <t>خامساً: نقطة التعادل — السنة الثالثة (الطاقة الكاملة)</t>
        </is>
      </c>
      <c r="B23" s="15" t="n"/>
      <c r="C23" s="15" t="n"/>
      <c r="D23" s="15" t="n"/>
    </row>
    <row r="24">
      <c r="A24" s="43" t="inlineStr">
        <is>
          <t>الكمية المباعة</t>
        </is>
      </c>
      <c r="B24" s="11">
        <f>الإيرادات!F5</f>
        <v>60000</v>
      </c>
      <c r="C24" s="7" t="inlineStr">
        <is>
          <t>طن</t>
        </is>
      </c>
      <c r="D24" s="16" t="n"/>
    </row>
    <row r="25">
      <c r="A25" s="43" t="inlineStr">
        <is>
          <t>التكاليف الثابتة شاملة الإهلاك والإطفاء والفوائد</t>
        </is>
      </c>
      <c r="B25" s="11">
        <f>'التكاليف التشغيلية'!F24+'قائمة الدخل'!F11+'قائمة الدخل'!F12+'قائمة الدخل'!F14</f>
        <v>204994.500070149</v>
      </c>
      <c r="C25" s="7" t="inlineStr">
        <is>
          <t>ر.ع</t>
        </is>
      </c>
      <c r="D25" s="16" t="n"/>
    </row>
    <row r="26">
      <c r="A26" s="43" t="inlineStr">
        <is>
          <t>التكلفة المتغيرة للطن (إيجار الحفارات والمواد المستهلكة)</t>
        </is>
      </c>
      <c r="B26" s="18">
        <f>IF(B24&gt;0,('التكاليف التشغيلية'!F26+'التكاليف التشغيلية'!F27)/B24,0)</f>
        <v>4.296162371508</v>
      </c>
      <c r="C26" s="7" t="inlineStr">
        <is>
          <t>ر.ع / طن</t>
        </is>
      </c>
      <c r="D26" s="16" t="n"/>
    </row>
    <row r="27">
      <c r="A27" s="43" t="inlineStr">
        <is>
          <t>صافي سعر الطن بعد الإتاوة والمساهمة المجتمعية</t>
        </is>
      </c>
      <c r="B27" s="18">
        <f>الإيرادات!F6*(1-RoyaltyRate-CommunityRate)</f>
        <v>36.3404</v>
      </c>
      <c r="C27" s="7" t="inlineStr">
        <is>
          <t>ر.ع / طن</t>
        </is>
      </c>
      <c r="D27" s="16" t="n"/>
    </row>
    <row r="28">
      <c r="A28" s="43" t="inlineStr">
        <is>
          <t>نسبة التعادل من الطاقة الإنتاجية</t>
        </is>
      </c>
      <c r="B28" s="19">
        <f>IF(B24&gt;0,(B25/(B27-B26))/B24,0)</f>
        <v>0.106620573744944</v>
      </c>
      <c r="C28" s="7" t="inlineStr">
        <is>
          <t>%</t>
        </is>
      </c>
      <c r="D28" s="16" t="inlineStr">
        <is>
          <t>كلما انخفضت زاد هامش الأمان</t>
        </is>
      </c>
    </row>
    <row r="29">
      <c r="A29" s="43" t="inlineStr">
        <is>
          <t>سعر التعادل</t>
        </is>
      </c>
      <c r="B29" s="30">
        <f>IF(B24&gt;0,(B25+'التكاليف التشغيلية'!F26+'التكاليف التشغيلية'!F27)/(B24*(1-RoyaltyRate-CommunityRate)),0)</f>
        <v>8.20503975816717</v>
      </c>
      <c r="C29" s="7" t="inlineStr">
        <is>
          <t>ر.ع / طن</t>
        </is>
      </c>
      <c r="D29" s="16" t="inlineStr">
        <is>
          <t>يُقارن بسعر البيع المعتمد وبمتوسط السعر الوطني المحقق 2025</t>
        </is>
      </c>
    </row>
    <row r="30">
      <c r="A30" s="43" t="inlineStr">
        <is>
          <t>كمية التعادل</t>
        </is>
      </c>
      <c r="B30" s="11">
        <f>B28*B24</f>
        <v>6397.23442469665</v>
      </c>
      <c r="C30" s="7" t="inlineStr">
        <is>
          <t>طن</t>
        </is>
      </c>
      <c r="D30" s="16" t="n"/>
    </row>
    <row r="31">
      <c r="A31" s="43" t="inlineStr">
        <is>
          <t>هامش الأمان</t>
        </is>
      </c>
      <c r="B31" s="17">
        <f>1-B28</f>
        <v>0.893379426255056</v>
      </c>
      <c r="C31" s="7" t="inlineStr">
        <is>
          <t>%</t>
        </is>
      </c>
      <c r="D31" s="16" t="inlineStr">
        <is>
          <t>نسبة الانخفاض في المبيعات التي يتحملها المشروع قبل تحقيق خسارة</t>
        </is>
      </c>
    </row>
  </sheetData>
  <pageMargins left="0.3888888888888889" right="0.3888888888888889" top="0.5" bottom="0.5" header="0.3" footer="0.3"/>
  <pageSetup orientation="landscape" paperSize="9" scale="84" fitToHeight="0" verticalDpi="0"/>
  <headerFooter>
    <oddHeader/>
    <oddFooter>&amp;C&amp;P / &amp;N</oddFooter>
    <evenHeader/>
    <evenFooter/>
    <firstHeader/>
    <firstFooter/>
  </headerFooter>
</worksheet>
</file>

<file path=xl/worksheets/sheet20.xml><?xml version="1.0" encoding="utf-8"?>
<worksheet xmlns="http://schemas.openxmlformats.org/spreadsheetml/2006/main">
  <sheetPr>
    <tabColor rgb="FF7F6000"/>
    <outlinePr summaryBelow="1" summaryRight="1"/>
    <pageSetUpPr fitToPage="1"/>
  </sheetPr>
  <dimension ref="A1:N53"/>
  <sheetViews>
    <sheetView showGridLines="0" rightToLeft="1" zoomScale="90" zoomScaleNormal="90" workbookViewId="0">
      <selection activeCell="A1" sqref="A1"/>
    </sheetView>
  </sheetViews>
  <sheetFormatPr baseColWidth="8" defaultRowHeight="12.75"/>
  <cols>
    <col width="30.7109375" customWidth="1" style="1" min="1" max="1"/>
    <col width="22.7109375" customWidth="1" style="1" min="2" max="2"/>
    <col width="18.7109375" customWidth="1" style="1" min="3" max="3"/>
    <col width="22.7109375" customWidth="1" style="1" min="4" max="4"/>
    <col width="3.7109375" customWidth="1" style="1" min="5" max="6"/>
    <col width="20.7109375" customWidth="1" style="1" min="7" max="7"/>
    <col width="13.7109375" customWidth="1" style="1" min="8" max="14"/>
    <col width="9.140625" customWidth="1" style="1" min="15" max="16384"/>
  </cols>
  <sheetData>
    <row r="1" ht="20.25" customHeight="1">
      <c r="A1" s="3" t="inlineStr">
        <is>
          <t>تحليل الحساسية</t>
        </is>
      </c>
    </row>
    <row r="2">
      <c r="A2" s="5" t="inlineStr">
        <is>
          <t>يوضح أثر تغير أهم العوامل على صافي القيمة الحالية ومعدل العائد الداخلي. الجداول تُحتسب تلقائياً (جداول بيانات Excel) — لا تُعدَّل خلاياها</t>
        </is>
      </c>
    </row>
    <row r="4">
      <c r="A4" s="15" t="inlineStr">
        <is>
          <t>عوامل الحساسية (تبقى 100% في الحالة الأساسية)</t>
        </is>
      </c>
      <c r="B4" s="15" t="n"/>
    </row>
    <row r="5">
      <c r="A5" s="43" t="inlineStr">
        <is>
          <t>معامل سعر البيع</t>
        </is>
      </c>
      <c r="B5" s="38" t="n">
        <v>1</v>
      </c>
    </row>
    <row r="6">
      <c r="A6" s="43" t="inlineStr">
        <is>
          <t>معامل الكمية المباعة</t>
        </is>
      </c>
      <c r="B6" s="38" t="n">
        <v>1</v>
      </c>
    </row>
    <row r="7">
      <c r="A7" s="43" t="inlineStr">
        <is>
          <t>معامل التكاليف التشغيلية</t>
        </is>
      </c>
      <c r="B7" s="38" t="n">
        <v>1</v>
      </c>
    </row>
    <row r="8">
      <c r="A8" s="43" t="inlineStr">
        <is>
          <t>معامل تكلفة الأصول الثابتة</t>
        </is>
      </c>
      <c r="B8" s="38" t="n">
        <v>1</v>
      </c>
    </row>
    <row r="9">
      <c r="A9" s="5" t="inlineStr">
        <is>
          <t>معامل الكمية يمثل تغير الخام القابل للبيع مع ثبات ساعات الحفر (أي تغير نسبة الاسترداد أو جودة العروق).</t>
        </is>
      </c>
    </row>
    <row r="11">
      <c r="A11" s="15" t="inlineStr">
        <is>
          <t>1) حساسية سعر البيع</t>
        </is>
      </c>
      <c r="B11" s="15" t="n"/>
      <c r="C11" s="15" t="n"/>
      <c r="D11" s="15" t="n"/>
      <c r="G11" s="15" t="inlineStr">
        <is>
          <t>5) صافي القيمة الحالية (ر.ع): سعر البيع × الكمية المباعة</t>
        </is>
      </c>
      <c r="H11" s="15" t="n"/>
      <c r="I11" s="15" t="n"/>
      <c r="J11" s="15" t="n"/>
      <c r="K11" s="15" t="n"/>
      <c r="L11" s="15" t="n"/>
      <c r="M11" s="15" t="n"/>
      <c r="N11" s="15" t="n"/>
    </row>
    <row r="12" ht="25.5" customHeight="1">
      <c r="A12" s="6" t="inlineStr">
        <is>
          <t>معامل السعر</t>
        </is>
      </c>
      <c r="B12" s="6" t="inlineStr">
        <is>
          <t>صافي القيمة الحالية (ر.ع)</t>
        </is>
      </c>
      <c r="C12" s="6" t="inlineStr">
        <is>
          <t>معدل العائد الداخلي</t>
        </is>
      </c>
      <c r="D12" s="6" t="inlineStr">
        <is>
          <t>العائد الداخلي على الاستثمار الجديد</t>
        </is>
      </c>
      <c r="G12" s="6" t="inlineStr">
        <is>
          <t>معامل السعر (عمودي)</t>
        </is>
      </c>
      <c r="H12" s="6" t="inlineStr">
        <is>
          <t>معامل الكمية المباعة (أفقي)</t>
        </is>
      </c>
      <c r="I12" s="6" t="n"/>
      <c r="J12" s="6" t="n"/>
      <c r="K12" s="6" t="n"/>
      <c r="L12" s="6" t="n"/>
      <c r="M12" s="6" t="n"/>
      <c r="N12" s="6" t="n"/>
    </row>
    <row r="13">
      <c r="A13" s="7" t="inlineStr">
        <is>
          <t>الحالة الأساسية</t>
        </is>
      </c>
      <c r="B13" s="12">
        <f>K_NPV</f>
        <v>5125634.43403889</v>
      </c>
      <c r="C13" s="46">
        <f>K_IRR</f>
        <v>3.09768202892893</v>
      </c>
      <c r="D13" s="46">
        <f>K_IRRNew</f>
        <v>5.14438954060749</v>
      </c>
      <c r="G13" s="12">
        <f>K_NPV</f>
        <v>5125634.43403889</v>
      </c>
      <c r="H13" s="50" t="n">
        <v>0.7</v>
      </c>
      <c r="I13" s="50" t="n">
        <v>0.8</v>
      </c>
      <c r="J13" s="50" t="n">
        <v>0.9</v>
      </c>
      <c r="K13" s="50" t="n">
        <v>1</v>
      </c>
      <c r="L13" s="50" t="n">
        <v>1.1</v>
      </c>
      <c r="M13" s="50" t="n">
        <v>1.2</v>
      </c>
      <c r="N13" s="50" t="n">
        <v>1.3</v>
      </c>
    </row>
    <row r="14">
      <c r="A14" s="50" t="n">
        <v>0.7</v>
      </c>
      <c r="B14" s="11">
        <f t="dataTable" ref="B14:D20" dt2D="0" dtr="0" r1="B5"/>
        <v>3125864.87974694</v>
      </c>
      <c r="C14" s="17">
        <v>2.02711829486951</v>
      </c>
      <c r="D14" s="17">
        <v>0.0747873739078067</v>
      </c>
      <c r="G14" s="50" t="n">
        <v>0.7</v>
      </c>
      <c r="H14" s="11">
        <f t="dataTable" ref="H14:N20" dt2D="1" dtr="1" r1="B6" r2="B5" ca="1"/>
        <v>1726026.19174258</v>
      </c>
      <c r="I14" s="11">
        <v>2192639.08774403</v>
      </c>
      <c r="J14" s="11">
        <v>2659251.98374549</v>
      </c>
      <c r="K14" s="11">
        <v>3125864.87974694</v>
      </c>
      <c r="L14" s="11">
        <v>3592477.7757484</v>
      </c>
      <c r="M14" s="11">
        <v>4059090.67174985</v>
      </c>
      <c r="N14" s="11">
        <v>4525703.56775131</v>
      </c>
    </row>
    <row r="15">
      <c r="A15" s="50" t="n">
        <v>0.8</v>
      </c>
      <c r="B15" s="11">
        <v>3792454.73117759</v>
      </c>
      <c r="C15" s="17">
        <v>2.39018994796593</v>
      </c>
      <c r="D15" s="17">
        <v>0.200849014276929</v>
      </c>
      <c r="G15" s="50" t="n">
        <v>0.8</v>
      </c>
      <c r="H15" s="11">
        <v>2192639.08774403</v>
      </c>
      <c r="I15" s="11">
        <v>2725910.96888855</v>
      </c>
      <c r="J15" s="11">
        <v>3259182.85003307</v>
      </c>
      <c r="K15" s="11">
        <v>3792454.73117759</v>
      </c>
      <c r="L15" s="11">
        <v>4325726.61232211</v>
      </c>
      <c r="M15" s="11">
        <v>4858998.49346663</v>
      </c>
      <c r="N15" s="11">
        <v>5392270.37461115</v>
      </c>
    </row>
    <row r="16">
      <c r="A16" s="50" t="n">
        <v>0.9</v>
      </c>
      <c r="B16" s="11">
        <v>4459044.58260824</v>
      </c>
      <c r="C16" s="17">
        <v>2.74682841925182</v>
      </c>
      <c r="D16" s="17">
        <v>0.310479512397282</v>
      </c>
      <c r="G16" s="50" t="n">
        <v>0.9</v>
      </c>
      <c r="H16" s="11">
        <v>2659251.98374549</v>
      </c>
      <c r="I16" s="11">
        <v>3259182.85003307</v>
      </c>
      <c r="J16" s="11">
        <v>3859113.71632066</v>
      </c>
      <c r="K16" s="11">
        <v>4459044.58260824</v>
      </c>
      <c r="L16" s="11">
        <v>5058975.44889582</v>
      </c>
      <c r="M16" s="11">
        <v>5658906.31518341</v>
      </c>
      <c r="N16" s="11">
        <v>6258837.18147099</v>
      </c>
    </row>
    <row r="17">
      <c r="A17" s="50" t="n">
        <v>1</v>
      </c>
      <c r="B17" s="11">
        <v>5125634.43403889</v>
      </c>
      <c r="C17" s="17">
        <v>3.09768202892893</v>
      </c>
      <c r="D17" s="17">
        <v>0.411390507798262</v>
      </c>
      <c r="G17" s="50" t="n">
        <v>1</v>
      </c>
      <c r="H17" s="11">
        <v>3125864.87974694</v>
      </c>
      <c r="I17" s="11">
        <v>3792454.73117759</v>
      </c>
      <c r="J17" s="11">
        <v>4459044.58260824</v>
      </c>
      <c r="K17" s="11">
        <v>5125634.43403889</v>
      </c>
      <c r="L17" s="11">
        <v>5792224.28546954</v>
      </c>
      <c r="M17" s="11">
        <v>6458814.13690019</v>
      </c>
      <c r="N17" s="11">
        <v>7125403.98833084</v>
      </c>
    </row>
    <row r="18">
      <c r="A18" s="50" t="n">
        <v>1.1</v>
      </c>
      <c r="B18" s="11">
        <v>5792224.28546954</v>
      </c>
      <c r="C18" s="17">
        <v>3.44316090808656</v>
      </c>
      <c r="D18" s="17">
        <v>0.507242918373663</v>
      </c>
      <c r="G18" s="50" t="n">
        <v>1.1</v>
      </c>
      <c r="H18" s="11">
        <v>3592477.7757484</v>
      </c>
      <c r="I18" s="11">
        <v>4325726.61232211</v>
      </c>
      <c r="J18" s="11">
        <v>5058975.44889582</v>
      </c>
      <c r="K18" s="11">
        <v>5792224.28546954</v>
      </c>
      <c r="L18" s="11">
        <v>6525473.12204325</v>
      </c>
      <c r="M18" s="11">
        <v>7258721.95861696</v>
      </c>
      <c r="N18" s="11">
        <v>7991970.79519068</v>
      </c>
    </row>
    <row r="19">
      <c r="A19" s="50" t="n">
        <v>1.2</v>
      </c>
      <c r="B19" s="11">
        <v>6458814.13690019</v>
      </c>
      <c r="C19" s="17">
        <v>3.78354934518899</v>
      </c>
      <c r="D19" s="17">
        <v>0.599774036780944</v>
      </c>
      <c r="G19" s="50" t="n">
        <v>1.2</v>
      </c>
      <c r="H19" s="11">
        <v>4059090.67174985</v>
      </c>
      <c r="I19" s="11">
        <v>4858998.49346663</v>
      </c>
      <c r="J19" s="11">
        <v>5658906.31518341</v>
      </c>
      <c r="K19" s="11">
        <v>6458814.13690019</v>
      </c>
      <c r="L19" s="11">
        <v>7258721.95861696</v>
      </c>
      <c r="M19" s="11">
        <v>8058629.78033374</v>
      </c>
      <c r="N19" s="11">
        <v>8858537.60205052</v>
      </c>
    </row>
    <row r="20">
      <c r="A20" s="50" t="n">
        <v>1.3</v>
      </c>
      <c r="B20" s="11">
        <v>7125403.98833084</v>
      </c>
      <c r="C20" s="17">
        <v>4.11906040839639</v>
      </c>
      <c r="D20" s="17">
        <v>0.689975409276088</v>
      </c>
      <c r="G20" s="50" t="n">
        <v>1.3</v>
      </c>
      <c r="H20" s="11">
        <v>4525703.56775131</v>
      </c>
      <c r="I20" s="11">
        <v>5392270.37461115</v>
      </c>
      <c r="J20" s="11">
        <v>6258837.18147099</v>
      </c>
      <c r="K20" s="11">
        <v>7125403.98833084</v>
      </c>
      <c r="L20" s="11">
        <v>7991970.79519068</v>
      </c>
      <c r="M20" s="11">
        <v>8858537.60205052</v>
      </c>
      <c r="N20" s="11">
        <v>9725104.40891037</v>
      </c>
    </row>
    <row r="22">
      <c r="A22" s="15" t="inlineStr">
        <is>
          <t>2) حساسية الكمية المباعة</t>
        </is>
      </c>
      <c r="B22" s="15" t="n"/>
      <c r="C22" s="15" t="n"/>
      <c r="D22" s="15" t="n"/>
      <c r="G22" s="15" t="inlineStr">
        <is>
          <t>قراءة النتائج</t>
        </is>
      </c>
      <c r="H22" s="15" t="n"/>
      <c r="I22" s="15" t="n"/>
      <c r="J22" s="15" t="n"/>
      <c r="K22" s="15" t="n"/>
      <c r="L22" s="15" t="n"/>
      <c r="M22" s="15" t="n"/>
      <c r="N22" s="15" t="n"/>
    </row>
    <row r="23" ht="25.5" customHeight="1">
      <c r="A23" s="6" t="inlineStr">
        <is>
          <t>معامل الكمية</t>
        </is>
      </c>
      <c r="B23" s="6" t="inlineStr">
        <is>
          <t>صافي القيمة الحالية (ر.ع)</t>
        </is>
      </c>
      <c r="C23" s="6" t="inlineStr">
        <is>
          <t>معدل العائد الداخلي</t>
        </is>
      </c>
      <c r="D23" s="6" t="inlineStr">
        <is>
          <t>العائد الداخلي على الاستثمار الجديد</t>
        </is>
      </c>
      <c r="G23" s="2" t="inlineStr">
        <is>
          <t>• الخلايا الحمراء = صافي قيمة حالية سالب (المشروع غير مجدٍ عند ذلك السيناريو).</t>
        </is>
      </c>
    </row>
    <row r="24">
      <c r="A24" s="7" t="inlineStr">
        <is>
          <t>الحالة الأساسية</t>
        </is>
      </c>
      <c r="B24" s="12">
        <f>K_NPV</f>
        <v>5125634.43403889</v>
      </c>
      <c r="C24" s="46">
        <f>K_IRR</f>
        <v>3.09768202892893</v>
      </c>
      <c r="D24" s="46">
        <f>K_IRRNew</f>
        <v>5.14438954060749</v>
      </c>
      <c r="G24" s="2" t="inlineStr">
        <is>
          <t>• معامل السعر يُطبَّق على سعر البيع المعتمد (المرجّح بين البيع المحلي والتصدير).</t>
        </is>
      </c>
    </row>
    <row r="25">
      <c r="A25" s="50" t="n">
        <v>0.7</v>
      </c>
      <c r="B25" s="11">
        <f t="dataTable" ref="B25:D31" dt2D="0" dtr="0" r1="B6" ca="1"/>
        <v>3125864.87974694</v>
      </c>
      <c r="C25" s="17">
        <v>2.02711829486951</v>
      </c>
      <c r="D25" s="17">
        <v>0.0747873739078069</v>
      </c>
      <c r="G25" s="2" t="inlineStr">
        <is>
          <t>• معامل الكمية 85% يعادل تقريباً انخفاض نسبة الاسترداد بعد الفرز من 85% إلى 72%.</t>
        </is>
      </c>
    </row>
    <row r="26">
      <c r="A26" s="50" t="n">
        <v>0.8</v>
      </c>
      <c r="B26" s="11">
        <v>3792454.73117759</v>
      </c>
      <c r="C26" s="17">
        <v>2.39018994796593</v>
      </c>
      <c r="D26" s="17">
        <v>0.200849014276929</v>
      </c>
    </row>
    <row r="27">
      <c r="A27" s="50" t="n">
        <v>0.9</v>
      </c>
      <c r="B27" s="11">
        <v>4459044.58260824</v>
      </c>
      <c r="C27" s="17">
        <v>2.74682841925182</v>
      </c>
      <c r="D27" s="17">
        <v>0.310479512397282</v>
      </c>
    </row>
    <row r="28">
      <c r="A28" s="50" t="n">
        <v>1</v>
      </c>
      <c r="B28" s="11">
        <v>5125634.43403889</v>
      </c>
      <c r="C28" s="17">
        <v>3.09768202892893</v>
      </c>
      <c r="D28" s="17">
        <v>0.411390507798262</v>
      </c>
    </row>
    <row r="29">
      <c r="A29" s="50" t="n">
        <v>1.1</v>
      </c>
      <c r="B29" s="11">
        <v>5792224.28546954</v>
      </c>
      <c r="C29" s="17">
        <v>3.44316090808656</v>
      </c>
      <c r="D29" s="17">
        <v>0.507242918373663</v>
      </c>
    </row>
    <row r="30">
      <c r="A30" s="50" t="n">
        <v>1.2</v>
      </c>
      <c r="B30" s="11">
        <v>6458814.13690019</v>
      </c>
      <c r="C30" s="17">
        <v>3.78354934518899</v>
      </c>
      <c r="D30" s="17">
        <v>0.599774036780944</v>
      </c>
    </row>
    <row r="31">
      <c r="A31" s="50" t="n">
        <v>1.3</v>
      </c>
      <c r="B31" s="11">
        <v>7125403.98833084</v>
      </c>
      <c r="C31" s="17">
        <v>4.11906040839639</v>
      </c>
      <c r="D31" s="17">
        <v>0.689975409276088</v>
      </c>
    </row>
    <row r="33">
      <c r="A33" s="15" t="inlineStr">
        <is>
          <t>3) حساسية التكاليف التشغيلية</t>
        </is>
      </c>
      <c r="B33" s="15" t="n"/>
      <c r="C33" s="15" t="n"/>
      <c r="D33" s="15" t="n"/>
    </row>
    <row r="34" ht="25.5" customHeight="1">
      <c r="A34" s="6" t="inlineStr">
        <is>
          <t>معامل التكاليف</t>
        </is>
      </c>
      <c r="B34" s="6" t="inlineStr">
        <is>
          <t>صافي القيمة الحالية (ر.ع)</t>
        </is>
      </c>
      <c r="C34" s="6" t="inlineStr">
        <is>
          <t>معدل العائد الداخلي</t>
        </is>
      </c>
      <c r="D34" s="6" t="inlineStr">
        <is>
          <t>العائد الداخلي على الاستثمار الجديد</t>
        </is>
      </c>
    </row>
    <row r="35">
      <c r="A35" s="7" t="inlineStr">
        <is>
          <t>الحالة الأساسية</t>
        </is>
      </c>
      <c r="B35" s="12">
        <f>K_NPV</f>
        <v>5125634.43403889</v>
      </c>
      <c r="C35" s="46">
        <f>K_IRR</f>
        <v>3.09768202892893</v>
      </c>
      <c r="D35" s="46">
        <f>K_IRRNew</f>
        <v>5.14438954060749</v>
      </c>
    </row>
    <row r="36">
      <c r="A36" s="50" t="n">
        <v>0.7</v>
      </c>
      <c r="B36" s="11">
        <f t="dataTable" ref="B36:D42" dt2D="0" dtr="0" r1="B7" ca="1"/>
        <v>5498338.10783858</v>
      </c>
      <c r="C36" s="17">
        <v>3.45407487576059</v>
      </c>
      <c r="D36" s="17">
        <v>0.620218800823247</v>
      </c>
    </row>
    <row r="37">
      <c r="A37" s="50" t="n">
        <v>0.8</v>
      </c>
      <c r="B37" s="11">
        <v>5374103.54990535</v>
      </c>
      <c r="C37" s="17">
        <v>3.33121486495557</v>
      </c>
      <c r="D37" s="17">
        <v>0.549095111372939</v>
      </c>
    </row>
    <row r="38">
      <c r="A38" s="50" t="n">
        <v>0.9</v>
      </c>
      <c r="B38" s="11">
        <v>5249868.99197212</v>
      </c>
      <c r="C38" s="17">
        <v>3.21249004944933</v>
      </c>
      <c r="D38" s="17">
        <v>0.479627177711689</v>
      </c>
    </row>
    <row r="39">
      <c r="A39" s="50" t="n">
        <v>1</v>
      </c>
      <c r="B39" s="11">
        <v>5125634.43403889</v>
      </c>
      <c r="C39" s="17">
        <v>3.09768202892893</v>
      </c>
      <c r="D39" s="17">
        <v>0.411390507798262</v>
      </c>
    </row>
    <row r="40">
      <c r="A40" s="50" t="n">
        <v>1.1</v>
      </c>
      <c r="B40" s="11">
        <v>5001399.87610566</v>
      </c>
      <c r="C40" s="17">
        <v>2.98658655458305</v>
      </c>
      <c r="D40" s="17">
        <v>0.343861440679076</v>
      </c>
    </row>
    <row r="41">
      <c r="A41" s="50" t="n">
        <v>1.2</v>
      </c>
      <c r="B41" s="11">
        <v>4877165.31817243</v>
      </c>
      <c r="C41" s="17">
        <v>2.8790123223735</v>
      </c>
      <c r="D41" s="17">
        <v>0.276305885199231</v>
      </c>
    </row>
    <row r="42">
      <c r="A42" s="50" t="n">
        <v>1.3</v>
      </c>
      <c r="B42" s="11">
        <v>4752930.7602392</v>
      </c>
      <c r="C42" s="17">
        <v>2.77477987970128</v>
      </c>
      <c r="D42" s="17">
        <v>0.20757782315565</v>
      </c>
    </row>
    <row r="44">
      <c r="A44" s="15" t="inlineStr">
        <is>
          <t>4) حساسية تكلفة الأصول الثابتة</t>
        </is>
      </c>
      <c r="B44" s="15" t="n"/>
      <c r="C44" s="15" t="n"/>
      <c r="D44" s="15" t="n"/>
    </row>
    <row r="45" ht="25.5" customHeight="1">
      <c r="A45" s="6" t="inlineStr">
        <is>
          <t>معامل تكلفة الأصول</t>
        </is>
      </c>
      <c r="B45" s="6" t="inlineStr">
        <is>
          <t>صافي القيمة الحالية (ر.ع)</t>
        </is>
      </c>
      <c r="C45" s="6" t="inlineStr">
        <is>
          <t>معدل العائد الداخلي</t>
        </is>
      </c>
      <c r="D45" s="6" t="inlineStr">
        <is>
          <t>العائد الداخلي على الاستثمار الجديد</t>
        </is>
      </c>
    </row>
    <row r="46">
      <c r="A46" s="7" t="inlineStr">
        <is>
          <t>الحالة الأساسية</t>
        </is>
      </c>
      <c r="B46" s="12">
        <f>K_NPV</f>
        <v>5125634.43403889</v>
      </c>
      <c r="C46" s="46">
        <f>K_IRR</f>
        <v>3.09768202892893</v>
      </c>
      <c r="D46" s="46">
        <f>K_IRRNew</f>
        <v>5.14438954060749</v>
      </c>
    </row>
    <row r="47">
      <c r="A47" s="50" t="n">
        <v>0.7</v>
      </c>
      <c r="B47" s="11">
        <f t="dataTable" ref="B47:D53" dt2D="0" dtr="0" r1="B8" ca="1"/>
        <v>5153516.9436008</v>
      </c>
      <c r="C47" s="17">
        <v>3.30008929010018</v>
      </c>
      <c r="D47" s="17">
        <v>0.502781081751347</v>
      </c>
    </row>
    <row r="48">
      <c r="A48" s="50" t="n">
        <v>0.8</v>
      </c>
      <c r="B48" s="11">
        <v>5144222.77374683</v>
      </c>
      <c r="C48" s="17">
        <v>3.22979053959002</v>
      </c>
      <c r="D48" s="17">
        <v>0.468867421379098</v>
      </c>
    </row>
    <row r="49">
      <c r="A49" s="50" t="n">
        <v>0.9</v>
      </c>
      <c r="B49" s="11">
        <v>5134928.60389286</v>
      </c>
      <c r="C49" s="17">
        <v>3.16237977020447</v>
      </c>
      <c r="D49" s="17">
        <v>0.438609055826129</v>
      </c>
    </row>
    <row r="50">
      <c r="A50" s="50" t="n">
        <v>1</v>
      </c>
      <c r="B50" s="11">
        <v>5125634.43403889</v>
      </c>
      <c r="C50" s="17">
        <v>3.09768202892893</v>
      </c>
      <c r="D50" s="17">
        <v>0.411390507798262</v>
      </c>
    </row>
    <row r="51">
      <c r="A51" s="50" t="n">
        <v>1.1</v>
      </c>
      <c r="B51" s="11">
        <v>5116340.26418492</v>
      </c>
      <c r="C51" s="17">
        <v>3.03553620460568</v>
      </c>
      <c r="D51" s="17">
        <v>0.386730028901222</v>
      </c>
    </row>
    <row r="52">
      <c r="A52" s="50" t="n">
        <v>1.2</v>
      </c>
      <c r="B52" s="11">
        <v>5107046.09433095</v>
      </c>
      <c r="C52" s="17">
        <v>2.97579368594043</v>
      </c>
      <c r="D52" s="17">
        <v>0.364244859771246</v>
      </c>
    </row>
    <row r="53">
      <c r="A53" s="50" t="n">
        <v>1.3</v>
      </c>
      <c r="B53" s="11">
        <v>5097751.92447698</v>
      </c>
      <c r="C53" s="17">
        <v>2.91831717266851</v>
      </c>
      <c r="D53" s="17">
        <v>0.343626826993519</v>
      </c>
    </row>
  </sheetData>
  <conditionalFormatting sqref="B14:B20">
    <cfRule type="expression" priority="1" dxfId="1" stopIfTrue="1">
      <formula>B14&lt;0</formula>
    </cfRule>
  </conditionalFormatting>
  <conditionalFormatting sqref="B25:B31">
    <cfRule type="expression" priority="2" dxfId="1" stopIfTrue="1">
      <formula>B25&lt;0</formula>
    </cfRule>
  </conditionalFormatting>
  <conditionalFormatting sqref="B36:B42">
    <cfRule type="expression" priority="3" dxfId="1" stopIfTrue="1">
      <formula>B36&lt;0</formula>
    </cfRule>
  </conditionalFormatting>
  <conditionalFormatting sqref="B47:B53">
    <cfRule type="expression" priority="4" dxfId="1" stopIfTrue="1">
      <formula>B47&lt;0</formula>
    </cfRule>
  </conditionalFormatting>
  <conditionalFormatting sqref="H14:N20">
    <cfRule type="expression" priority="5" dxfId="1" stopIfTrue="1">
      <formula>H14&lt;0</formula>
    </cfRule>
    <cfRule type="expression" priority="6" dxfId="0" stopIfTrue="1">
      <formula>H14&gt;=0</formula>
    </cfRule>
  </conditionalFormatting>
  <pageMargins left="0.3888888888888889" right="0.3888888888888889" top="0.5" bottom="0.5" header="0.3" footer="0.3"/>
  <pageSetup orientation="landscape" paperSize="9" scale="64" fitToHeight="0" verticalDpi="0"/>
  <headerFooter>
    <oddHeader/>
    <oddFooter>&amp;C&amp;P / &amp;N</oddFooter>
    <evenHeader/>
    <evenFooter/>
    <firstHeader/>
    <firstFooter/>
  </headerFooter>
</worksheet>
</file>

<file path=xl/worksheets/sheet21.xml><?xml version="1.0" encoding="utf-8"?>
<worksheet xmlns="http://schemas.openxmlformats.org/spreadsheetml/2006/main">
  <sheetPr>
    <tabColor rgb="FF7F6000"/>
    <outlinePr summaryBelow="1" summaryRight="1"/>
    <pageSetUpPr fitToPage="1"/>
  </sheetPr>
  <dimension ref="A1:E22"/>
  <sheetViews>
    <sheetView showGridLines="0" rightToLeft="1" zoomScale="90" zoomScaleNormal="90" workbookViewId="0">
      <selection activeCell="A1" sqref="A1"/>
    </sheetView>
  </sheetViews>
  <sheetFormatPr baseColWidth="8" defaultRowHeight="12.75"/>
  <cols>
    <col width="6.7109375" customWidth="1" style="1" min="1" max="1"/>
    <col width="34.7109375" customWidth="1" style="1" min="2" max="2"/>
    <col width="14.7109375" customWidth="1" style="1" min="3" max="4"/>
    <col width="90.7109375" customWidth="1" style="1" min="5" max="5"/>
    <col width="9.140625" customWidth="1" style="1" min="6" max="16384"/>
  </cols>
  <sheetData>
    <row r="1" ht="20.25" customHeight="1">
      <c r="A1" s="3" t="inlineStr">
        <is>
          <t>تحليل SWOT وسجل المخاطر</t>
        </is>
      </c>
    </row>
    <row r="2">
      <c r="A2" s="5" t="inlineStr">
        <is>
          <t>يُحدَّث عند توفر نتائج التقرير الاستكشافي وعقد البيع</t>
        </is>
      </c>
    </row>
    <row r="4">
      <c r="A4" s="15" t="inlineStr">
        <is>
          <t>أولاً: تحليل SWOT</t>
        </is>
      </c>
      <c r="B4" s="15" t="n"/>
      <c r="C4" s="15" t="n"/>
      <c r="D4" s="15" t="n"/>
      <c r="E4" s="15" t="n"/>
    </row>
    <row r="5">
      <c r="A5" s="6" t="inlineStr">
        <is>
          <t>م</t>
        </is>
      </c>
      <c r="B5" s="6" t="inlineStr">
        <is>
          <t>المحور</t>
        </is>
      </c>
      <c r="C5" s="6" t="n"/>
      <c r="D5" s="6" t="n"/>
      <c r="E5" s="6" t="inlineStr">
        <is>
          <t>البيان</t>
        </is>
      </c>
    </row>
    <row r="6" ht="25.5" customHeight="1">
      <c r="A6" s="7" t="n">
        <v>1</v>
      </c>
      <c r="B6" s="32" t="inlineStr">
        <is>
          <t>نقاط القوة</t>
        </is>
      </c>
      <c r="C6" s="43" t="n"/>
      <c r="D6" s="43" t="n"/>
      <c r="E6" s="43" t="inlineStr">
        <is>
          <t>ترخيص تنقيب قائم وطريق مفتوح إلى الموقع؛ كادر عُماني بنسبة تعمين مرتفعة؛ حفارات مستأجرة بالساعة شاملة المشغل والديزل (رأس مال أقل ومرونة)؛ إنتاج كبير نسبياً يحقق وفورات الحجم.</t>
        </is>
      </c>
    </row>
    <row r="7" ht="25.5" customHeight="1">
      <c r="A7" s="7" t="n">
        <v>2</v>
      </c>
      <c r="B7" s="32" t="inlineStr">
        <is>
          <t>نقاط الضعف</t>
        </is>
      </c>
      <c r="C7" s="43" t="n"/>
      <c r="D7" s="43" t="n"/>
      <c r="E7" s="43" t="inlineStr">
        <is>
          <t>عدم توفر تقدير معتمد للاحتياطي والدرجة بعد؛ اعتماد على منتج واحد وسعر متقلب؛ الاعتماد على مؤجر الحفارات؛ ارتفاع تكلفة الحفر مع تتبع العروق إلى العمق.</t>
        </is>
      </c>
    </row>
    <row r="8" ht="25.5" customHeight="1">
      <c r="A8" s="7" t="n">
        <v>3</v>
      </c>
      <c r="B8" s="32" t="inlineStr">
        <is>
          <t>الفرص</t>
        </is>
      </c>
      <c r="C8" s="43" t="n"/>
      <c r="D8" s="43" t="n"/>
      <c r="E8" s="43" t="inlineStr">
        <is>
          <t>توجه حكومي لرفع إنتاج الكروم إلى 400 ألف طن سنوياً بحلول 2030؛ تسويق موحّد عبر شركة متاجرة المعادن يحسّن القدرة التفاوضية؛ طلب محلي من مصانع المعالجة والفيروكروم (أولوية للسوق المحلي)؛ إمكانية رفع الدرجة بالمعالجة لتحقيق علاوة سعرية.</t>
        </is>
      </c>
    </row>
    <row r="9" ht="25.5" customHeight="1">
      <c r="A9" s="7" t="n">
        <v>4</v>
      </c>
      <c r="B9" s="32" t="inlineStr">
        <is>
          <t>التهديدات</t>
        </is>
      </c>
      <c r="C9" s="43" t="n"/>
      <c r="D9" s="43" t="n"/>
      <c r="E9" s="43" t="inlineStr">
        <is>
          <t>شرط 36% لتصدير الخام غير المعالج؛ تقلب أسعار الكروم عالمياً (مرتبطة بسوق الفولاذ المقاوم للصدأ في الصين)؛ طول إجراءات ترخيص التعدين؛ ارتفاع نسبة التعرية مع التعمق؛ تغيّر الرسوم والإتاوات.</t>
        </is>
      </c>
    </row>
    <row r="11">
      <c r="A11" s="15" t="inlineStr">
        <is>
          <t>ثانياً: سجل المخاطر</t>
        </is>
      </c>
      <c r="B11" s="15" t="n"/>
      <c r="C11" s="15" t="n"/>
      <c r="D11" s="15" t="n"/>
      <c r="E11" s="15" t="n"/>
    </row>
    <row r="12">
      <c r="A12" s="6" t="inlineStr">
        <is>
          <t>م</t>
        </is>
      </c>
      <c r="B12" s="6" t="inlineStr">
        <is>
          <t>الخطر</t>
        </is>
      </c>
      <c r="C12" s="6" t="inlineStr">
        <is>
          <t>الاحتمال</t>
        </is>
      </c>
      <c r="D12" s="6" t="inlineStr">
        <is>
          <t>الأثر</t>
        </is>
      </c>
      <c r="E12" s="6" t="inlineStr">
        <is>
          <t>إجراءات التخفيف</t>
        </is>
      </c>
    </row>
    <row r="13">
      <c r="A13" s="7" t="n">
        <v>1</v>
      </c>
      <c r="B13" s="43" t="inlineStr">
        <is>
          <t>الاحتياطي أو الدرجة أقل من المفترض</t>
        </is>
      </c>
      <c r="C13" s="7" t="inlineStr">
        <is>
          <t>متوسط</t>
        </is>
      </c>
      <c r="D13" s="7" t="inlineStr">
        <is>
          <t>مرتفع جداً</t>
        </is>
      </c>
      <c r="E13" s="43" t="inlineStr">
        <is>
          <t>استكمال برنامج الحفر والعينات وتقرير احتياطي معتمد قبل شراء المعدات؛ البدء بمعدات مستأجرة ثم الشراء بعد تأكيد الخام.</t>
        </is>
      </c>
    </row>
    <row r="14" ht="25.5" customHeight="1">
      <c r="A14" s="7" t="n">
        <v>2</v>
      </c>
      <c r="B14" s="43" t="inlineStr">
        <is>
          <t>درجة الخام أقل من 36% (قيد التصدير)</t>
        </is>
      </c>
      <c r="C14" s="7" t="inlineStr">
        <is>
          <t>مرتفع</t>
        </is>
      </c>
      <c r="D14" s="7" t="inlineStr">
        <is>
          <t>مرتفع</t>
        </is>
      </c>
      <c r="E14" s="43" t="inlineStr">
        <is>
          <t>التعاقد المسبق مع مشترٍ محلي أو مع شركة متاجرة المعادن؛ دراسة الفرز/الغسل لرفع الدرجة؛ الحصول على موافقة الوزارة لتصدير الخام المعالج.</t>
        </is>
      </c>
    </row>
    <row r="15">
      <c r="A15" s="7" t="n">
        <v>3</v>
      </c>
      <c r="B15" s="43" t="inlineStr">
        <is>
          <t>انخفاض سعر الكروم</t>
        </is>
      </c>
      <c r="C15" s="7" t="inlineStr">
        <is>
          <t>متوسط</t>
        </is>
      </c>
      <c r="D15" s="7" t="inlineStr">
        <is>
          <t>مرتفع</t>
        </is>
      </c>
      <c r="E15" s="43" t="inlineStr">
        <is>
          <t>عقود بيع بسعر مرجعي معلن؛ الحفاظ على تكلفة الطن دون سعر التعادل بهامش كافٍ؛ تكوين احتياطي نقدي في السنوات الجيدة.</t>
        </is>
      </c>
    </row>
    <row r="16">
      <c r="A16" s="7" t="n">
        <v>4</v>
      </c>
      <c r="B16" s="43" t="inlineStr">
        <is>
          <t>ارتفاع نسبة التعرية أو صلابة الصخر</t>
        </is>
      </c>
      <c r="C16" s="7" t="inlineStr">
        <is>
          <t>متوسط</t>
        </is>
      </c>
      <c r="D16" s="7" t="inlineStr">
        <is>
          <t>مرتفع</t>
        </is>
      </c>
      <c r="E16" s="43" t="inlineStr">
        <is>
          <t>خطة تعدين مرحلية تبدأ بالجيوب الأقرب للسطح؛ مراقبة شهرية لنسبة التعرية؛ دراسة بديل التفجير إذا انخفضت إنتاجية الكسارات.</t>
        </is>
      </c>
    </row>
    <row r="17">
      <c r="A17" s="7" t="n">
        <v>5</v>
      </c>
      <c r="B17" s="43" t="inlineStr">
        <is>
          <t>تأخر ترخيص التعدين أو التصريح البيئي</t>
        </is>
      </c>
      <c r="C17" s="7" t="inlineStr">
        <is>
          <t>مرتفع</t>
        </is>
      </c>
      <c r="D17" s="7" t="inlineStr">
        <is>
          <t>متوسط</t>
        </is>
      </c>
      <c r="E17" s="43" t="inlineStr">
        <is>
          <t>تقديم ملف مكتمل، ومتابعة موافقات الجهات السبع بالتوازي؛ عدم الالتزام بمصاريف ثابتة (إيجارات، توظيف) قبل صدور الترخيص.</t>
        </is>
      </c>
    </row>
    <row r="18">
      <c r="A18" s="7" t="n">
        <v>6</v>
      </c>
      <c r="B18" s="43" t="inlineStr">
        <is>
          <t>أعطال المعدات وتوقف الإنتاج</t>
        </is>
      </c>
      <c r="C18" s="7" t="inlineStr">
        <is>
          <t>متوسط</t>
        </is>
      </c>
      <c r="D18" s="7" t="inlineStr">
        <is>
          <t>متوسط</t>
        </is>
      </c>
      <c r="E18" s="43" t="inlineStr">
        <is>
          <t>عقد إيجار يُلزم المؤجر بتوفير بديل فوري للحفار المعطل؛ صيانة دورية للشيول والقلاب المملوكين.</t>
        </is>
      </c>
    </row>
    <row r="19">
      <c r="A19" s="7" t="n">
        <v>7</v>
      </c>
      <c r="B19" s="43" t="inlineStr">
        <is>
          <t>حوادث العمل والسلامة</t>
        </is>
      </c>
      <c r="C19" s="7" t="inlineStr">
        <is>
          <t>منخفض</t>
        </is>
      </c>
      <c r="D19" s="7" t="inlineStr">
        <is>
          <t>مرتفع</t>
        </is>
      </c>
      <c r="E19" s="43" t="inlineStr">
        <is>
          <t>مشرف أمن وسلامة متفرغ؛ تدريب ومعدات وقاية؛ تأمين إصابات العمل؛ ميول آمنة لجدران المحجر.</t>
        </is>
      </c>
    </row>
    <row r="20">
      <c r="A20" s="7" t="n">
        <v>8</v>
      </c>
      <c r="B20" s="43" t="inlineStr">
        <is>
          <t>الالتزامات البيئية والمجتمعية</t>
        </is>
      </c>
      <c r="C20" s="7" t="inlineStr">
        <is>
          <t>منخفض</t>
        </is>
      </c>
      <c r="D20" s="7" t="inlineStr">
        <is>
          <t>متوسط</t>
        </is>
      </c>
      <c r="E20" s="43" t="inlineStr">
        <is>
          <t>التقيد بالتصريح البيئي، مكافحة الغبار بالرش، إعادة تأهيل تدريجية، وتسديد مساهمة تنمية المجتمع المحلي.</t>
        </is>
      </c>
    </row>
    <row r="21">
      <c r="A21" s="7" t="n">
        <v>9</v>
      </c>
      <c r="B21" s="43" t="inlineStr">
        <is>
          <t>ضغط السيولة في السنة الأولى</t>
        </is>
      </c>
      <c r="C21" s="7" t="inlineStr">
        <is>
          <t>متوسط</t>
        </is>
      </c>
      <c r="D21" s="7" t="inlineStr">
        <is>
          <t>متوسط</t>
        </is>
      </c>
      <c r="E21" s="43" t="inlineStr">
        <is>
          <t>رأس مال عامل يغطي ثلاثة أشهر؛ فترة سماح للقرض إن أمكن؛ تحصيل سريع لقيمة الشحنات.</t>
        </is>
      </c>
    </row>
    <row r="22">
      <c r="A22" s="7" t="n">
        <v>10</v>
      </c>
      <c r="B22" s="43" t="inlineStr">
        <is>
          <t>اشتراطات الأعمال تحت السطح عند تتبع العروق</t>
        </is>
      </c>
      <c r="C22" s="7" t="inlineStr">
        <is>
          <t>متوسط</t>
        </is>
      </c>
      <c r="D22" s="7" t="inlineStr">
        <is>
          <t>مرتفع</t>
        </is>
      </c>
      <c r="E22" s="43" t="inlineStr">
        <is>
          <t>تأكيد متطلبات الترخيص والسلامة مع وزارة الطاقة والمعادن؛ تدعيم وتهوية ومراقبة الجدران؛ مراجعة نسب الأعباء الإضافية سنوياً.</t>
        </is>
      </c>
    </row>
  </sheetData>
  <pageMargins left="0.3888888888888889" right="0.3888888888888889" top="0.5" bottom="0.5" header="0.3" footer="0.3"/>
  <pageSetup orientation="landscape" paperSize="9" scale="87" fitToHeight="0" verticalDpi="0"/>
  <headerFooter>
    <oddHeader/>
    <oddFooter>&amp;C&amp;P / &amp;N</oddFooter>
    <evenHeader/>
    <evenFooter/>
    <firstHeader/>
    <firstFooter/>
  </headerFooter>
</worksheet>
</file>

<file path=xl/worksheets/sheet22.xml><?xml version="1.0" encoding="utf-8"?>
<worksheet xmlns="http://schemas.openxmlformats.org/spreadsheetml/2006/main">
  <sheetPr>
    <tabColor rgb="FF595959"/>
    <outlinePr summaryBelow="1" summaryRight="1"/>
    <pageSetUpPr fitToPage="1"/>
  </sheetPr>
  <dimension ref="A1:E47"/>
  <sheetViews>
    <sheetView showGridLines="0" rightToLeft="1" zoomScale="90" zoomScaleNormal="90" workbookViewId="0">
      <selection activeCell="A1" sqref="A1"/>
    </sheetView>
  </sheetViews>
  <sheetFormatPr baseColWidth="8" defaultRowHeight="12.75"/>
  <cols>
    <col width="6.7109375" customWidth="1" style="1" min="1" max="1"/>
    <col width="44.7109375" customWidth="1" style="1" min="2" max="2"/>
    <col width="30.7109375" customWidth="1" style="1" min="3" max="4"/>
    <col width="70.7109375" customWidth="1" style="1" min="5" max="5"/>
    <col width="9.140625" customWidth="1" style="1" min="6" max="16384"/>
  </cols>
  <sheetData>
    <row r="1" ht="20.25" customHeight="1">
      <c r="A1" s="3" t="inlineStr">
        <is>
          <t>ما تم تصحيحه، ما يحتاج تأكيداً، والمصادر</t>
        </is>
      </c>
    </row>
    <row r="2">
      <c r="A2" s="5" t="inlineStr">
        <is>
          <t>مقارنة بين الملف الأصلي «دراسة جدوى مقلع كروم» وهذه النسخة المحدثة</t>
        </is>
      </c>
    </row>
    <row r="4">
      <c r="A4" s="15" t="inlineStr">
        <is>
          <t>أولاً: التصحيحات على الدراسة الأصلية</t>
        </is>
      </c>
      <c r="B4" s="15" t="n"/>
      <c r="C4" s="15" t="n"/>
      <c r="D4" s="15" t="n"/>
      <c r="E4" s="15" t="n"/>
    </row>
    <row r="5">
      <c r="A5" s="6" t="inlineStr">
        <is>
          <t>م</t>
        </is>
      </c>
      <c r="B5" s="6" t="inlineStr">
        <is>
          <t>البند</t>
        </is>
      </c>
      <c r="C5" s="6" t="inlineStr">
        <is>
          <t>في الملف الأصلي</t>
        </is>
      </c>
      <c r="D5" s="6" t="inlineStr">
        <is>
          <t>في النسخة المحدثة</t>
        </is>
      </c>
      <c r="E5" s="6" t="inlineStr">
        <is>
          <t>السبب</t>
        </is>
      </c>
    </row>
    <row r="6" ht="25.5" customHeight="1">
      <c r="A6" s="7" t="n">
        <v>1</v>
      </c>
      <c r="B6" s="43" t="inlineStr">
        <is>
          <t>الروابط بين الأوراق</t>
        </is>
      </c>
      <c r="C6" s="43" t="inlineStr">
        <is>
          <t>روابط إلى ملف خارجي غير موجود (حاسوب آخر) تعطي صفراً</t>
        </is>
      </c>
      <c r="D6" s="43" t="inlineStr">
        <is>
          <t>ربط داخلي كامل بين جميع الأوراق</t>
        </is>
      </c>
      <c r="E6" s="43" t="inlineStr">
        <is>
          <t>رسوم التراخيص ورأس المال العامل كانت تظهر صفراً بسبب الروابط المكسورة.</t>
        </is>
      </c>
    </row>
    <row r="7" ht="25.5" customHeight="1">
      <c r="A7" s="7" t="n">
        <v>2</v>
      </c>
      <c r="B7" s="43" t="inlineStr">
        <is>
          <t>مصاريف ما قبل التشغيل</t>
        </is>
      </c>
      <c r="C7" s="43" t="inlineStr">
        <is>
          <t>جدولان مختلفان: 276,220 و332,220</t>
        </is>
      </c>
      <c r="D7" s="43" t="inlineStr">
        <is>
          <t>جدول واحد: 229,392 + ضمانات 55,000 منفصلة</t>
        </is>
      </c>
      <c r="E7" s="43" t="inlineStr">
        <is>
          <t>توحيد الأرقام وربط رسوم التراخيص والمأذونيات بأوراقها.</t>
        </is>
      </c>
    </row>
    <row r="8">
      <c r="A8" s="7" t="n">
        <v>3</v>
      </c>
      <c r="B8" s="43" t="inlineStr">
        <is>
          <t>مصاريف الاستكشاف السابقة</t>
        </is>
      </c>
      <c r="C8" s="43" t="inlineStr">
        <is>
          <t>200,000 في ورقة و257,000 في أخرى</t>
        </is>
      </c>
      <c r="D8" s="43" t="inlineStr">
        <is>
          <t>200,000 (مدخل قابل للتعديل)</t>
        </is>
      </c>
      <c r="E8" s="43" t="inlineStr">
        <is>
          <t>يجب تأكيد الرقم الصحيح بالمستندات.</t>
        </is>
      </c>
    </row>
    <row r="9" ht="25.5" customHeight="1">
      <c r="A9" s="7" t="n">
        <v>4</v>
      </c>
      <c r="B9" s="43" t="inlineStr">
        <is>
          <t>الضمانات البنكية 55,000</t>
        </is>
      </c>
      <c r="C9" s="43" t="inlineStr">
        <is>
          <t>مصروف ضمن ما قبل التشغيل</t>
        </is>
      </c>
      <c r="D9" s="43" t="inlineStr">
        <is>
          <t>وديعة مستردة في نهاية المشروع + عمولة سنوية</t>
        </is>
      </c>
      <c r="E9" s="43" t="inlineStr">
        <is>
          <t>الضمان ليس مصروفاً بل نقد محتجز يُسترد بعد إعادة التأهيل.</t>
        </is>
      </c>
    </row>
    <row r="10">
      <c r="A10" s="7" t="n">
        <v>5</v>
      </c>
      <c r="B10" s="43" t="inlineStr">
        <is>
          <t>رأس المال العامل</t>
        </is>
      </c>
      <c r="C10" s="43" t="inlineStr">
        <is>
          <t>صفر</t>
        </is>
      </c>
      <c r="D10" s="43" t="inlineStr">
        <is>
          <t>3 أشهر من التكاليف النقدية</t>
        </is>
      </c>
      <c r="E10" s="43" t="inlineStr">
        <is>
          <t>لا يمكن تشغيل المشروع دون سيولة حتى تحصيل أولى المبيعات.</t>
        </is>
      </c>
    </row>
    <row r="11">
      <c r="A11" s="7" t="n">
        <v>6</v>
      </c>
      <c r="B11" s="43" t="inlineStr">
        <is>
          <t>التأمينات الاجتماعية للعُمانيين</t>
        </is>
      </c>
      <c r="C11" s="43" t="inlineStr">
        <is>
          <t>3,080 ر.ع سنوياً</t>
        </is>
      </c>
      <c r="D11" s="43" t="inlineStr">
        <is>
          <t>14.5% من الرواتب</t>
        </is>
      </c>
      <c r="E11" s="43" t="inlineStr">
        <is>
          <t>النسبة النظامية لاشتراك صاحب العمل في صندوق الحماية الاجتماعية.</t>
        </is>
      </c>
    </row>
    <row r="12">
      <c r="A12" s="7" t="n">
        <v>7</v>
      </c>
      <c r="B12" s="43" t="inlineStr">
        <is>
          <t>اشتراكات ونهاية خدمة الوافدين</t>
        </is>
      </c>
      <c r="C12" s="43" t="inlineStr">
        <is>
          <t>غير موجودة</t>
        </is>
      </c>
      <c r="D12" s="43" t="inlineStr">
        <is>
          <t>3% اشتراكات + 9% ادخار/نهاية خدمة</t>
        </is>
      </c>
      <c r="E12" s="43" t="inlineStr">
        <is>
          <t>التزامات قانون العمل وقانون الحماية الاجتماعية.</t>
        </is>
      </c>
    </row>
    <row r="13">
      <c r="A13" s="7" t="n">
        <v>8</v>
      </c>
      <c r="B13" s="43" t="inlineStr">
        <is>
          <t>راتب الحارس</t>
        </is>
      </c>
      <c r="C13" s="43" t="inlineStr">
        <is>
          <t>320 ر.ع</t>
        </is>
      </c>
      <c r="D13" s="43" t="inlineStr">
        <is>
          <t>325 ر.ع</t>
        </is>
      </c>
      <c r="E13" s="43" t="inlineStr">
        <is>
          <t>الحد الأدنى لأجور العُمانيين.</t>
        </is>
      </c>
    </row>
    <row r="14">
      <c r="A14" s="7" t="n">
        <v>9</v>
      </c>
      <c r="B14" s="43" t="inlineStr">
        <is>
          <t>مجموع عمود الراتب الشهري</t>
        </is>
      </c>
      <c r="C14" s="43" t="inlineStr">
        <is>
          <t>5,340 (مجموع رواتب الوحدة)</t>
        </is>
      </c>
      <c r="D14" s="43" t="inlineStr">
        <is>
          <t>حُذف</t>
        </is>
      </c>
      <c r="E14" s="43" t="inlineStr">
        <is>
          <t>رقم بلا معنى: يجمع راتب الوحدة دون ضرب العدد.</t>
        </is>
      </c>
    </row>
    <row r="15">
      <c r="A15" s="7" t="n">
        <v>10</v>
      </c>
      <c r="B15" s="43" t="inlineStr">
        <is>
          <t>إيجار الشيول والقلاب</t>
        </is>
      </c>
      <c r="C15" s="43" t="inlineStr">
        <is>
          <t>غير مدرج</t>
        </is>
      </c>
      <c r="D15" s="43" t="inlineStr">
        <is>
          <t>مضاف في ورقة الإيجارات</t>
        </is>
      </c>
      <c r="E15" s="43" t="inlineStr">
        <is>
          <t>الدراسة تتضمن مشغل شيول وسائق قلاب وتذكر استئجارهما في الجدول الزمني دون تكلفة.</t>
        </is>
      </c>
    </row>
    <row r="16" ht="25.5" customHeight="1">
      <c r="A16" s="7" t="n">
        <v>11</v>
      </c>
      <c r="B16" s="43" t="inlineStr">
        <is>
          <t>الحفارات</t>
        </is>
      </c>
      <c r="C16" s="43" t="inlineStr">
        <is>
          <t>حفار 350 في الجدول الزمني وهيتاشي 240 في الإيجارات</t>
        </is>
      </c>
      <c r="D16" s="43" t="inlineStr">
        <is>
          <t>5 حفارات مستأجرة بالساعة (شاملة المشغل والديزل) + شيول وقلاب وبيك أب مملوكة</t>
        </is>
      </c>
      <c r="E16" s="43" t="inlineStr">
        <is>
          <t>معطيات المالك (أكتوبر 2026).</t>
        </is>
      </c>
    </row>
    <row r="17">
      <c r="A17" s="7" t="n">
        <v>12</v>
      </c>
      <c r="B17" s="43" t="inlineStr">
        <is>
          <t>مأذونيات العمالة الوافدة</t>
        </is>
      </c>
      <c r="C17" s="43" t="inlineStr">
        <is>
          <t>3,420 في ورقة و2,420 في أخرى</t>
        </is>
      </c>
      <c r="D17" s="43" t="inlineStr">
        <is>
          <t>محتسبة من رسوم وزارة العمل</t>
        </is>
      </c>
      <c r="E17" s="43" t="inlineStr">
        <is>
          <t>حسب فئة المهنة (251 / 201 ر.ع) مع تجديد كل سنتين.</t>
        </is>
      </c>
    </row>
    <row r="18">
      <c r="A18" s="7" t="n">
        <v>13</v>
      </c>
      <c r="B18" s="43" t="inlineStr">
        <is>
          <t>المصاريف الإدارية والمنافع والتسويق</t>
        </is>
      </c>
      <c r="C18" s="43" t="inlineStr">
        <is>
          <t>صفر</t>
        </is>
      </c>
      <c r="D18" s="43" t="inlineStr">
        <is>
          <t>قيم تقديرية</t>
        </is>
      </c>
      <c r="E18" s="43" t="inlineStr">
        <is>
          <t>لا يخلو مشروع من تدقيق حسابات واتصالات وكهرباء وتحاليل مخبرية.</t>
        </is>
      </c>
    </row>
    <row r="19">
      <c r="A19" s="7" t="n">
        <v>14</v>
      </c>
      <c r="B19" s="43" t="inlineStr">
        <is>
          <t>المواد المستهلكة</t>
        </is>
      </c>
      <c r="C19" s="43" t="inlineStr">
        <is>
          <t>رقم مجمل 84,691 من ملف خارجي</t>
        </is>
      </c>
      <c r="D19" s="43" t="inlineStr">
        <is>
          <t>تفصيل بالمعدة والبند</t>
        </is>
      </c>
      <c r="E19" s="43" t="inlineStr">
        <is>
          <t>ليمكن التحقق منه وتعديله (وقود، زيوت، قطع استهلاك، إطارات...).</t>
        </is>
      </c>
    </row>
    <row r="20">
      <c r="A20" s="7" t="n">
        <v>15</v>
      </c>
      <c r="B20" s="43" t="inlineStr">
        <is>
          <t>الإتاوة والمساهمة المجتمعية والضريبة</t>
        </is>
      </c>
      <c r="C20" s="43" t="inlineStr">
        <is>
          <t>غير موجودة</t>
        </is>
      </c>
      <c r="D20" s="43" t="inlineStr">
        <is>
          <t>5% + 1% + 15%</t>
        </is>
      </c>
      <c r="E20" s="43" t="inlineStr">
        <is>
          <t>التزامات قانون الثروة المعدنية وقانون ضريبة الدخل.</t>
        </is>
      </c>
    </row>
    <row r="21">
      <c r="A21" s="7" t="n">
        <v>16</v>
      </c>
      <c r="B21" s="43" t="inlineStr">
        <is>
          <t>الإنتاج والإيرادات وقائمة الدخل والتدفقات والمؤشرات</t>
        </is>
      </c>
      <c r="C21" s="43" t="inlineStr">
        <is>
          <t>غير موجودة في الملف</t>
        </is>
      </c>
      <c r="D21" s="43" t="inlineStr">
        <is>
          <t>أُضيفت كاملة ومترابطة</t>
        </is>
      </c>
      <c r="E21" s="43" t="inlineStr">
        <is>
          <t>لا تكتمل دراسة الجدوى بدونها.</t>
        </is>
      </c>
    </row>
    <row r="22" ht="25.5" customHeight="1">
      <c r="A22" s="7" t="n">
        <v>17</v>
      </c>
      <c r="B22" s="43" t="inlineStr">
        <is>
          <t>الجدول الزمني</t>
        </is>
      </c>
      <c r="C22" s="43" t="inlineStr">
        <is>
          <t>بلا تواريخ، والتوظيف والشراء قبل الترخيص</t>
        </is>
      </c>
      <c r="D22" s="43" t="inlineStr">
        <is>
          <t>تسلسل: دراسات وتراخيص ← تمويل وتجهيز ← تأهيل ← إنتاج</t>
        </is>
      </c>
      <c r="E22" s="43" t="inlineStr">
        <is>
          <t>لتفادي الالتزام بمصاريف ثابتة قبل صدور ترخيص التعدين.</t>
        </is>
      </c>
    </row>
    <row r="23" ht="25.5" customHeight="1">
      <c r="A23" s="7" t="n">
        <v>18</v>
      </c>
      <c r="B23" s="43" t="inlineStr">
        <is>
          <t>أخطاء إملائية وتسميات</t>
        </is>
      </c>
      <c r="C23" s="43" t="inlineStr">
        <is>
          <t>«عمال صقل أحجار»، «الطاقة والعادن»، «هيئة البية»...</t>
        </is>
      </c>
      <c r="D23" s="43" t="inlineStr">
        <is>
          <t>صُححت</t>
        </is>
      </c>
      <c r="E23" s="43" t="n"/>
    </row>
    <row r="25">
      <c r="A25" s="15" t="inlineStr">
        <is>
          <t>ثانياً: بنود يجب تأكيدها قبل اعتماد الدراسة (مرتبة حسب الأثر)</t>
        </is>
      </c>
      <c r="B25" s="15" t="n"/>
      <c r="C25" s="15" t="n"/>
      <c r="D25" s="15" t="n"/>
      <c r="E25" s="15" t="n"/>
    </row>
    <row r="26">
      <c r="A26" s="6" t="inlineStr">
        <is>
          <t>م</t>
        </is>
      </c>
      <c r="B26" s="6" t="inlineStr">
        <is>
          <t>البند</t>
        </is>
      </c>
      <c r="C26" s="6" t="inlineStr">
        <is>
          <t>القيمة المفترضة</t>
        </is>
      </c>
      <c r="D26" s="6" t="inlineStr">
        <is>
          <t>مصدر التأكيد</t>
        </is>
      </c>
      <c r="E26" s="6" t="inlineStr">
        <is>
          <t>ملاحظات</t>
        </is>
      </c>
    </row>
    <row r="27">
      <c r="A27" s="7" t="n">
        <v>1</v>
      </c>
      <c r="B27" s="43" t="inlineStr">
        <is>
          <t>الاحتياطي ودرجة الخام</t>
        </is>
      </c>
      <c r="C27" s="43" t="str">
        <f>TEXT(OreReserve,"#,##0")&amp;" طن بدرجة "&amp;TEXT(OreGrade,"0%")</f>
        <v>400,000 طن بدرجة 32%</v>
      </c>
      <c r="D27" s="43" t="inlineStr">
        <is>
          <t>التقرير الاستكشافي ونتائج المختبر</t>
        </is>
      </c>
      <c r="E27" s="43" t="str">
        <f>"أهم مدخل — الإنتاج المستهدف يتطلب "&amp;TEXT('الخطة الفنية والإنتاج'!H26,"#,##0")&amp;" طن خام لخمس سنوات."</f>
        <v>أهم مدخل — الإنتاج المستهدف يتطلب 352,941 طن خام لخمس سنوات.</v>
      </c>
    </row>
    <row r="28">
      <c r="A28" s="7" t="n">
        <v>2</v>
      </c>
      <c r="B28" s="43" t="inlineStr">
        <is>
          <t>نسبة التعرية وإنتاجية التكسير</t>
        </is>
      </c>
      <c r="C28" s="43" t="str">
        <f>TEXT(StripRatio,"0.0")&amp;" طن/طن و"&amp;TEXT(BrkProd,"0")&amp;" طن/ساعة"</f>
        <v>4.0 طن/طن و35 طن/ساعة</v>
      </c>
      <c r="D28" s="43" t="inlineStr">
        <is>
          <t>خطة التعدين وتجربة الموقع</t>
        </is>
      </c>
      <c r="E28" s="43" t="inlineStr">
        <is>
          <t>تحددان كفاية 5 حفارات لإنتاج 60,000 طن صافٍ — انظر التحقق في «الخطة الفنية والإنتاج».</t>
        </is>
      </c>
    </row>
    <row r="29" ht="25.5" customHeight="1">
      <c r="A29" s="7" t="n">
        <v>3</v>
      </c>
      <c r="B29" s="43" t="inlineStr">
        <is>
          <t>سعر البيع والمشتري</t>
        </is>
      </c>
      <c r="C29" s="43" t="str">
        <f>"بيع محلي "&amp;TEXT(LocalShare,"0%")&amp;" بسعر "&amp;TEXT(LocalPrice,"0.00")&amp;" ر.ع/طن"</f>
        <v>بيع محلي 100% بسعر 38.66 ر.ع/طن</v>
      </c>
      <c r="D29" s="43" t="inlineStr">
        <is>
          <t>عقد أو عرض شراء (شركة متاجرة المعادن / مشترٍ محلي)</t>
        </is>
      </c>
      <c r="E29" s="43" t="inlineStr">
        <is>
          <t>يُستبدل الاحتساب بالسعر التعاقدي الفعلي عند توفره.</t>
        </is>
      </c>
    </row>
    <row r="30">
      <c r="A30" s="7" t="n">
        <v>4</v>
      </c>
      <c r="B30" s="43" t="inlineStr">
        <is>
          <t>نسبة الإتاوة والإيجار السنوي للترخيص</t>
        </is>
      </c>
      <c r="C30" s="43" t="inlineStr">
        <is>
          <t>5% + رسوم سنوية 1,600</t>
        </is>
      </c>
      <c r="D30" s="43" t="inlineStr">
        <is>
          <t>وزارة الطاقة والمعادن</t>
        </is>
      </c>
      <c r="E30" s="43" t="inlineStr">
        <is>
          <t>القانون يحدد حداً أدنى؛ النسبة الفعلية تُحدد في الترخيص.</t>
        </is>
      </c>
    </row>
    <row r="31">
      <c r="A31" s="7" t="n">
        <v>5</v>
      </c>
      <c r="B31" s="43" t="inlineStr">
        <is>
          <t>أسعار المعدات المشتراة</t>
        </is>
      </c>
      <c r="C31" s="43" t="inlineStr">
        <is>
          <t>شيول 50,000 + قلاب 32,000 + بيك أب 11,000 ر.ع</t>
        </is>
      </c>
      <c r="D31" s="43" t="inlineStr">
        <is>
          <t>عروض أسعار من الوكلاء</t>
        </is>
      </c>
      <c r="E31" s="43" t="inlineStr">
        <is>
          <t>افتراض — يُستبدل بعروض الوكلاء.</t>
        </is>
      </c>
    </row>
    <row r="32">
      <c r="A32" s="7" t="n">
        <v>6</v>
      </c>
      <c r="B32" s="43" t="inlineStr">
        <is>
          <t>أعباء تتبع العروق إلى باطن الأرض</t>
        </is>
      </c>
      <c r="C32" s="43" t="inlineStr">
        <is>
          <t>+10% إلى +40% (السنوات 2–5)</t>
        </is>
      </c>
      <c r="D32" s="43" t="inlineStr">
        <is>
          <t>خطة التعدين وتجربة الموقع</t>
        </is>
      </c>
      <c r="E32" s="43" t="n"/>
    </row>
    <row r="33">
      <c r="A33" s="7" t="n">
        <v>7</v>
      </c>
      <c r="B33" s="43" t="inlineStr">
        <is>
          <t>مصاريف الاستكشاف السابقة</t>
        </is>
      </c>
      <c r="C33" s="43" t="inlineStr">
        <is>
          <t>200,000 ر.ع</t>
        </is>
      </c>
      <c r="D33" s="43" t="inlineStr">
        <is>
          <t>المستندات المحاسبية</t>
        </is>
      </c>
      <c r="E33" s="43" t="inlineStr">
        <is>
          <t>الملف الأصلي يذكر أيضاً 257,000.</t>
        </is>
      </c>
    </row>
    <row r="34">
      <c r="A34" s="7" t="n">
        <v>8</v>
      </c>
      <c r="B34" s="43" t="inlineStr">
        <is>
          <t>شروط التمويل</t>
        </is>
      </c>
      <c r="C34" s="43" t="inlineStr">
        <is>
          <t>150,000 بفائدة 6% لمدة 5 سنوات</t>
        </is>
      </c>
      <c r="D34" s="43" t="inlineStr">
        <is>
          <t>الجهة الممولة</t>
        </is>
      </c>
      <c r="E34" s="43" t="n"/>
    </row>
    <row r="35">
      <c r="A35" s="7" t="n">
        <v>9</v>
      </c>
      <c r="B35" s="43" t="inlineStr">
        <is>
          <t>رسوم التراخيص الحالية</t>
        </is>
      </c>
      <c r="C35" s="43" t="inlineStr">
        <is>
          <t>8,400 ر.ع</t>
        </is>
      </c>
      <c r="D35" s="43" t="inlineStr">
        <is>
          <t>جداول الرسوم السارية</t>
        </is>
      </c>
      <c r="E35" s="43" t="inlineStr">
        <is>
          <t>من الملف الأصلي.</t>
        </is>
      </c>
    </row>
    <row r="36">
      <c r="A36" s="7" t="n">
        <v>10</v>
      </c>
      <c r="B36" s="43" t="inlineStr">
        <is>
          <t>اشتراكات الحماية الاجتماعية للوافدين</t>
        </is>
      </c>
      <c r="C36" s="43" t="inlineStr">
        <is>
          <t>3% + 9%</t>
        </is>
      </c>
      <c r="D36" s="43" t="inlineStr">
        <is>
          <t>صندوق الحماية الاجتماعية</t>
        </is>
      </c>
      <c r="E36" s="43" t="inlineStr">
        <is>
          <t>التطبيق مرحلي — يُتحقق من النسب السارية وقت التشغيل.</t>
        </is>
      </c>
    </row>
    <row r="38">
      <c r="A38" s="15" t="inlineStr">
        <is>
          <t>ثالثاً: المصادر</t>
        </is>
      </c>
      <c r="B38" s="15" t="n"/>
      <c r="C38" s="15" t="n"/>
      <c r="D38" s="15" t="n"/>
      <c r="E38" s="15" t="n"/>
    </row>
    <row r="39">
      <c r="A39" s="6" t="inlineStr">
        <is>
          <t>م</t>
        </is>
      </c>
      <c r="B39" s="6" t="inlineStr">
        <is>
          <t>الموضوع</t>
        </is>
      </c>
      <c r="C39" s="6" t="inlineStr">
        <is>
          <t>المصدر</t>
        </is>
      </c>
      <c r="D39" s="6" t="n"/>
      <c r="E39" s="6" t="inlineStr">
        <is>
          <t>الرابط</t>
        </is>
      </c>
    </row>
    <row r="40">
      <c r="A40" s="7" t="n">
        <v>1</v>
      </c>
      <c r="B40" s="43" t="inlineStr">
        <is>
          <t>أسعار خام الكروم (CIF الصين)</t>
        </is>
      </c>
      <c r="C40" s="43" t="inlineStr">
        <is>
          <t>Shanghai Metals Market (SMM)</t>
        </is>
      </c>
      <c r="D40" s="43" t="n"/>
      <c r="E40" s="43" t="inlineStr">
        <is>
          <t>https://www-old.metal.com/price/Minor-Metals/Chromium</t>
        </is>
      </c>
    </row>
    <row r="41" ht="25.5" customHeight="1">
      <c r="A41" s="7" t="n">
        <v>2</v>
      </c>
      <c r="B41" s="43" t="inlineStr">
        <is>
          <t>إنتاج ومبيعات الكروم في السلطنة 2025</t>
        </is>
      </c>
      <c r="C41" s="43" t="inlineStr">
        <is>
          <t>Times of Oman</t>
        </is>
      </c>
      <c r="D41" s="43" t="n"/>
      <c r="E41" s="43" t="inlineStr">
        <is>
          <t>https://timesofoman.com/article/168275-production-of-chromium-ore-in-oman-exceeded-353000-tonnes-in-2025</t>
        </is>
      </c>
    </row>
    <row r="42" ht="25.5" customHeight="1">
      <c r="A42" s="7" t="n">
        <v>3</v>
      </c>
      <c r="B42" s="43" t="inlineStr">
        <is>
          <t>تنظيم تصدير خامي الجبس والكروم</t>
        </is>
      </c>
      <c r="C42" s="43" t="inlineStr">
        <is>
          <t>قرار وزاري 18/2025 — وزارة الطاقة والمعادن</t>
        </is>
      </c>
      <c r="D42" s="43" t="n"/>
      <c r="E42" s="43" t="inlineStr">
        <is>
          <t>https://qanoon.om/p/2025/mem20250018/</t>
        </is>
      </c>
    </row>
    <row r="43" ht="25.5" customHeight="1">
      <c r="A43" s="7" t="n">
        <v>4</v>
      </c>
      <c r="B43" s="43" t="inlineStr">
        <is>
          <t>مستهدف 400 ألف طن وشرط 36%</t>
        </is>
      </c>
      <c r="C43" s="43" t="inlineStr">
        <is>
          <t>Oman Observer</t>
        </is>
      </c>
      <c r="D43" s="43" t="n"/>
      <c r="E43" s="43" t="inlineStr">
        <is>
          <t>https://www.omanobserver.om/article/1186906/business/economy/oman-targets-400000-ty-chromite-output-by-2030</t>
        </is>
      </c>
    </row>
    <row r="44">
      <c r="A44" s="7" t="n">
        <v>5</v>
      </c>
      <c r="B44" s="43" t="inlineStr">
        <is>
          <t>قانون الثروة المعدنية</t>
        </is>
      </c>
      <c r="C44" s="43" t="inlineStr">
        <is>
          <t>مرسوم سلطاني 19/2019</t>
        </is>
      </c>
      <c r="D44" s="43" t="n"/>
      <c r="E44" s="43" t="inlineStr">
        <is>
          <t>https://qanoon.om/p/2019/rd2019019/</t>
        </is>
      </c>
    </row>
    <row r="45" ht="25.5" customHeight="1">
      <c r="A45" s="7" t="n">
        <v>6</v>
      </c>
      <c r="B45" s="43" t="inlineStr">
        <is>
          <t>اشتراكات صندوق الحماية الاجتماعية</t>
        </is>
      </c>
      <c r="C45" s="43" t="inlineStr">
        <is>
          <t>Middle East Briefing / Lockton</t>
        </is>
      </c>
      <c r="D45" s="43" t="n"/>
      <c r="E45" s="43" t="inlineStr">
        <is>
          <t>https://www.middleeastbriefing.com/news/omans-spf-social-security-employer-registration-and-contributions/</t>
        </is>
      </c>
    </row>
    <row r="46" ht="25.5" customHeight="1">
      <c r="A46" s="7" t="n">
        <v>7</v>
      </c>
      <c r="B46" s="43" t="inlineStr">
        <is>
          <t>رسوم مأذونيات العمل</t>
        </is>
      </c>
      <c r="C46" s="43" t="inlineStr">
        <is>
          <t>Oman Observer — قرار وزارة العمل 602/2025</t>
        </is>
      </c>
      <c r="D46" s="43" t="n"/>
      <c r="E46" s="43" t="inlineStr">
        <is>
          <t>https://www.omanobserver.om/article/1178709/oman/labour/mol-issues-decision-on-work-permits-work-practice-permits</t>
        </is>
      </c>
    </row>
    <row r="47" ht="25.5" customHeight="1">
      <c r="A47" s="7" t="n">
        <v>8</v>
      </c>
      <c r="B47" s="43" t="inlineStr">
        <is>
          <t>ضريبة الدخل</t>
        </is>
      </c>
      <c r="C47" s="43" t="inlineStr">
        <is>
          <t>PwC Worldwide Tax Summaries — Oman</t>
        </is>
      </c>
      <c r="D47" s="43" t="n"/>
      <c r="E47" s="43" t="inlineStr">
        <is>
          <t>https://taxsummaries.pwc.com/oman/corporate/taxes-on-corporate-income</t>
        </is>
      </c>
    </row>
  </sheetData>
  <pageMargins left="0.3888888888888889" right="0.3888888888888889" top="0.5" bottom="0.5" header="0.3" footer="0.3"/>
  <pageSetup orientation="landscape" paperSize="9" scale="77" fitToHeight="0" verticalDpi="0"/>
  <headerFooter>
    <oddHeader/>
    <oddFooter>&amp;C&amp;P /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Amur Al Bakhit</dc:creator>
  <dcterms:created xmlns:dcterms="http://purl.org/dc/terms/" xmlns:xsi="http://www.w3.org/2001/XMLSchema-instance" xsi:type="dcterms:W3CDTF">2026-10-05T10:26:16Z</dcterms:created>
  <dcterms:modified xmlns:dcterms="http://purl.org/dc/terms/" xmlns:xsi="http://www.w3.org/2001/XMLSchema-instance" xsi:type="dcterms:W3CDTF">2026-10-10T13:30:10Z</dcterms:modified>
  <cp:lastModifiedBy>Amur Al Bakhit</cp:lastModifiedBy>
</cp:coreProperties>
</file>